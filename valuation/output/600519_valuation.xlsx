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参数假设" sheetId="2" state="visible" r:id="rId2"/>
    <sheet name="DCF测算" sheetId="3" state="visible" r:id="rId3"/>
    <sheet name="相对估值" sheetId="4" state="visible" r:id="rId4"/>
    <sheet name="三法融合" sheetId="5" state="visible" r:id="rId5"/>
    <sheet name="敏感性分析" sheetId="6" state="visible" r:id="rId6"/>
    <sheet name="数据来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 * #,##0.00_ ;_ * (#,##0.00);_ * &quot;-&quot;??_ ;_ @_ "/>
    <numFmt numFmtId="165" formatCode="0.0%"/>
  </numFmts>
  <fonts count="13">
    <font>
      <name val="Calibri"/>
      <family val="2"/>
      <color theme="1"/>
      <sz val="11"/>
      <scheme val="minor"/>
    </font>
    <font>
      <name val="Times New Roman"/>
      <b val="1"/>
      <color rgb="FF0B2545"/>
      <sz val="14"/>
    </font>
    <font>
      <name val="Times New Roman"/>
      <b val="1"/>
      <sz val="10"/>
    </font>
    <font>
      <name val="Times New Roman"/>
      <color rgb="FF808080"/>
      <sz val="9"/>
    </font>
    <font>
      <name val="Times New Roman"/>
      <color rgb="FF0000FF"/>
      <sz val="10"/>
    </font>
    <font>
      <name val="Times New Roman"/>
      <b val="1"/>
      <color rgb="FF0B2545"/>
      <sz val="10"/>
    </font>
    <font>
      <name val="Times New Roman"/>
      <sz val="10"/>
    </font>
    <font>
      <name val="Times New Roman"/>
      <color rgb="FF000000"/>
      <sz val="10"/>
    </font>
    <font>
      <name val="Times New Roman"/>
      <b val="1"/>
      <color rgb="FFCC0000"/>
      <sz val="10"/>
    </font>
    <font>
      <name val="Times New Roman"/>
      <b val="1"/>
      <color rgb="FF0000FF"/>
      <sz val="10"/>
    </font>
    <font>
      <name val="Times New Roman"/>
      <i val="1"/>
      <sz val="10"/>
    </font>
    <font>
      <name val="_ * #,##0.00_ ;_ * (#,##0.00);_ * &quot;-&quot;??_ ;_ @_ "/>
    </font>
    <font>
      <name val="0.00%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E7F5EE"/>
      </patternFill>
    </fill>
    <fill>
      <patternFill patternType="solid">
        <fgColor rgb="00FFFFCC"/>
      </patternFill>
    </fill>
    <fill>
      <patternFill patternType="solid">
        <fgColor rgb="FFD9E1F2"/>
      </patternFill>
    </fill>
    <fill>
      <patternFill patternType="solid">
        <fgColor rgb="FFFDEEE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4" fontId="2" fillId="3" borderId="0" pivotButton="0" quotePrefix="0" xfId="0"/>
    <xf numFmtId="164" fontId="4" fillId="4" borderId="0" pivotButton="0" quotePrefix="0" xfId="0"/>
    <xf numFmtId="10" fontId="2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0" fontId="7" fillId="0" borderId="1" pivotButton="0" quotePrefix="0" xfId="0"/>
    <xf numFmtId="0" fontId="2" fillId="6" borderId="0" pivotButton="0" quotePrefix="0" xfId="0"/>
    <xf numFmtId="0" fontId="8" fillId="0" borderId="0" pivotButton="0" quotePrefix="0" xfId="0"/>
    <xf numFmtId="1" fontId="4" fillId="0" borderId="1" pivotButton="0" quotePrefix="0" xfId="0"/>
    <xf numFmtId="0" fontId="3" fillId="0" borderId="1" pivotButton="0" quotePrefix="0" xfId="0"/>
    <xf numFmtId="10" fontId="4" fillId="0" borderId="1" pivotButton="0" quotePrefix="0" xfId="0"/>
    <xf numFmtId="0" fontId="9" fillId="0" borderId="1" pivotButton="0" quotePrefix="0" xfId="0"/>
    <xf numFmtId="10" fontId="9" fillId="4" borderId="1" pivotButton="0" quotePrefix="0" xfId="0"/>
    <xf numFmtId="2" fontId="9" fillId="4" borderId="1" pivotButton="0" quotePrefix="0" xfId="0"/>
    <xf numFmtId="165" fontId="4" fillId="0" borderId="1" pivotButton="0" quotePrefix="0" xfId="0"/>
    <xf numFmtId="0" fontId="7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0" fillId="0" borderId="1" pivotButton="0" quotePrefix="0" xfId="0"/>
    <xf numFmtId="2" fontId="10" fillId="0" borderId="1" pivotButton="0" quotePrefix="0" xfId="0"/>
    <xf numFmtId="0" fontId="11" fillId="0" borderId="1" pivotButton="0" quotePrefix="0" xfId="0"/>
    <xf numFmtId="164" fontId="11" fillId="0" borderId="1" pivotButton="0" quotePrefix="0" xfId="0"/>
    <xf numFmtId="0" fontId="12" fillId="0" borderId="1" pivotButton="0" quotePrefix="0" xfId="0"/>
    <xf numFmtId="10" fontId="12" fillId="0" borderId="1" pivotButton="0" quotePrefix="0" xfId="0"/>
    <xf numFmtId="2" fontId="7" fillId="0" borderId="1" pivotButton="0" quotePrefix="0" xfId="0"/>
    <xf numFmtId="0" fontId="6" fillId="0" borderId="0" pivotButton="0" quotePrefix="0" xfId="0"/>
    <xf numFmtId="165" fontId="4" fillId="4" borderId="1" pivotButton="0" quotePrefix="0" xfId="0"/>
    <xf numFmtId="164" fontId="2" fillId="3" borderId="1" pivotButton="0" quotePrefix="0" xfId="0"/>
    <xf numFmtId="164" fontId="4" fillId="4" borderId="1" pivotButton="0" quotePrefix="0" xfId="0"/>
    <xf numFmtId="10" fontId="2" fillId="0" borderId="1" pivotButton="0" quotePrefix="0" xfId="0"/>
    <xf numFmtId="10" fontId="5" fillId="5" borderId="1" pivotButton="0" quotePrefix="0" xfId="0"/>
    <xf numFmtId="164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8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22" customWidth="1" min="3" max="3"/>
    <col width="18" customWidth="1" min="4" max="4"/>
    <col width="16" customWidth="1" min="5" max="5"/>
    <col width="46" customWidth="1" min="6" max="6"/>
  </cols>
  <sheetData>
    <row r="2">
      <c r="B2" s="1" t="inlineStr">
        <is>
          <t>FinScope 估值底稿</t>
        </is>
      </c>
    </row>
    <row r="3">
      <c r="B3" s="2" t="inlineStr">
        <is>
          <t>贵州茅台（600519）</t>
        </is>
      </c>
    </row>
    <row r="4">
      <c r="B4" s="3" t="inlineStr">
        <is>
          <t>估值基准期 2025-12-31 · 价格日期  · 币种 CNY</t>
        </is>
      </c>
    </row>
    <row r="6">
      <c r="B6" s="4" t="inlineStr">
        <is>
          <t>一、估值结论</t>
        </is>
      </c>
    </row>
    <row r="7">
      <c r="B7" s="2" t="inlineStr">
        <is>
          <t>融合每股价值</t>
        </is>
      </c>
      <c r="C7" s="5" t="n">
        <v>1534.392192795302</v>
      </c>
    </row>
    <row r="8">
      <c r="B8" t="inlineStr">
        <is>
          <t>当前市价</t>
        </is>
      </c>
      <c r="C8" s="6" t="n">
        <v>1263</v>
      </c>
    </row>
    <row r="9">
      <c r="B9" t="inlineStr">
        <is>
          <t>估值判断</t>
        </is>
      </c>
      <c r="C9" s="2" t="inlineStr">
        <is>
          <t>低估</t>
        </is>
      </c>
    </row>
    <row r="10">
      <c r="B10" t="inlineStr">
        <is>
          <t>上行/下行空间</t>
        </is>
      </c>
      <c r="C10" s="7" t="n">
        <v>0.2148790125061772</v>
      </c>
    </row>
    <row r="12">
      <c r="B12" s="4" t="inlineStr">
        <is>
          <t>二、各方法结果与权重</t>
        </is>
      </c>
    </row>
    <row r="13">
      <c r="B13" s="8" t="inlineStr">
        <is>
          <t>方法</t>
        </is>
      </c>
      <c r="C13" s="8" t="inlineStr">
        <is>
          <t>每股价值</t>
        </is>
      </c>
      <c r="D13" s="8" t="inlineStr">
        <is>
          <t>权重</t>
        </is>
      </c>
      <c r="E13" s="8" t="inlineStr">
        <is>
          <t>股权价值</t>
        </is>
      </c>
      <c r="F13" s="8" t="inlineStr">
        <is>
          <t>说明</t>
        </is>
      </c>
    </row>
    <row r="14">
      <c r="B14" s="9" t="inlineStr">
        <is>
          <t>DCF（收益法）</t>
        </is>
      </c>
      <c r="C14" s="10" t="n">
        <v>2646.985398935719</v>
      </c>
      <c r="D14" s="11" t="n">
        <v>0.5</v>
      </c>
      <c r="E14" s="10" t="n">
        <v>3314740974627.094</v>
      </c>
    </row>
    <row r="15">
      <c r="B15" s="9" t="inlineStr">
        <is>
          <t>相对估值（市场法）</t>
        </is>
      </c>
      <c r="C15" s="10" t="n">
        <v>421.798986654884</v>
      </c>
      <c r="D15" s="11" t="n">
        <v>0.5</v>
      </c>
      <c r="E15" s="10" t="n">
        <v>528206307705.0937</v>
      </c>
    </row>
    <row r="16">
      <c r="B16" s="3" t="inlineStr">
        <is>
          <t>默认权重：DCF 50% / 相对估值 50%</t>
        </is>
      </c>
    </row>
    <row r="18">
      <c r="B18" s="4" t="inlineStr">
        <is>
          <t>三、三情景</t>
        </is>
      </c>
    </row>
    <row r="19">
      <c r="B19" s="8" t="inlineStr">
        <is>
          <t>情景</t>
        </is>
      </c>
      <c r="C19" s="8" t="inlineStr">
        <is>
          <t>每股价值</t>
        </is>
      </c>
      <c r="D19" s="8" t="inlineStr">
        <is>
          <t>首年增速</t>
        </is>
      </c>
      <c r="E19" s="8" t="inlineStr">
        <is>
          <t>EBIT 利润率</t>
        </is>
      </c>
      <c r="F19" s="8" t="inlineStr">
        <is>
          <t>WACC</t>
        </is>
      </c>
    </row>
    <row r="20">
      <c r="B20" s="9" t="inlineStr">
        <is>
          <t>乐观</t>
        </is>
      </c>
      <c r="C20" s="10" t="n">
        <v>4932.597299638844</v>
      </c>
      <c r="D20" s="12" t="n">
        <v>0.151299489894386</v>
      </c>
      <c r="E20" s="12" t="n">
        <v>0.7072963258635487</v>
      </c>
      <c r="F20" s="12" t="n">
        <v>0.03641376334941665</v>
      </c>
    </row>
    <row r="21">
      <c r="B21" s="9" t="inlineStr">
        <is>
          <t>基准</t>
        </is>
      </c>
      <c r="C21" s="10" t="n">
        <v>2646.985398935719</v>
      </c>
      <c r="D21" s="12" t="n">
        <v>0.121299489894386</v>
      </c>
      <c r="E21" s="12" t="n">
        <v>0.6872963258635487</v>
      </c>
      <c r="F21" s="12" t="n">
        <v>0.04641376334941665</v>
      </c>
    </row>
    <row r="22">
      <c r="B22" s="9" t="inlineStr">
        <is>
          <t>悲观</t>
        </is>
      </c>
      <c r="C22" s="10" t="n">
        <v>1788.471201349219</v>
      </c>
      <c r="D22" s="12" t="n">
        <v>0.09129948989438599</v>
      </c>
      <c r="E22" s="12" t="n">
        <v>0.6672963258635487</v>
      </c>
      <c r="F22" s="12" t="n">
        <v>0.05641376334941665</v>
      </c>
    </row>
    <row r="25">
      <c r="B25" s="13" t="inlineStr">
        <is>
          <t>四、模型提示（交付前请逐条复核）</t>
        </is>
      </c>
    </row>
    <row r="26" ht="28" customHeight="1">
      <c r="B26" s="14" t="inlineStr">
        <is>
          <t>⚠ 终值两种算法偏离 136%（Gordon 58,728 亿 vs 退出倍数 11,166 亿），已取中点。根因多半是 WACC − g 只有 2.14%——分母太小会把 Gordon 终值放大。建议复核折现率假设。</t>
        </is>
      </c>
    </row>
    <row r="27" ht="28" customHeight="1">
      <c r="B27" s="14" t="inlineStr">
        <is>
          <t>⚠ 终值占企业价值 85%，超过 85%——这个模型实质上是在押倍数扩张。</t>
        </is>
      </c>
    </row>
    <row r="28" ht="28" customHeight="1">
      <c r="B28" s="14" t="inlineStr">
        <is>
          <t>⚠ 算出的 WACC（4.64%）低于市场隐含折现率（8.31%）367bp。折现率偏低会让 DCF 结果系统性高于市价——通常是无风险利率处在历史低位、Beta 偏低，或 ERP 取值偏小。建议把市场隐含折现率作为交叉验证，并在交付时说明这一分歧。</t>
        </is>
      </c>
    </row>
    <row r="29" ht="28" customHeight="1">
      <c r="B29" s="14" t="inlineStr">
        <is>
          <t>⚠ 没有提供分部数据，跳过 SOTP。</t>
        </is>
      </c>
    </row>
    <row r="30" ht="28" customHeight="1">
      <c r="B30" s="14" t="inlineStr">
        <is>
          <t>⚠ DCF（每股 2,646.99）与相对估值（每股 421.80）相差 528%。两者背离到这个程度，通常说明：折现率偏低、永续增速偏高，或者可比公司选得不对。加权平均值在这种情况下参考价值有限，请先定位是哪一头出了问题。</t>
        </is>
      </c>
    </row>
    <row r="31" ht="28" customHeight="1">
      <c r="B31" s="14" t="inlineStr">
        <is>
          <t>⚠ 营运资本变动为「（应收账款＋存货−应付账款）的同比变化」近似值，与现金流量表口径可能有差异。</t>
        </is>
      </c>
    </row>
    <row r="34">
      <c r="B34" s="4" t="inlineStr">
        <is>
          <t>五、口径与免责</t>
        </is>
      </c>
    </row>
    <row r="35">
      <c r="B35" s="3" t="inlineStr">
        <is>
          <t>· 金额单位为报表原始货币的「元」，请勿与「亿元」混用；百分比一律为小数格式。</t>
        </is>
      </c>
    </row>
    <row r="36">
      <c r="B36" s="3" t="inlineStr">
        <is>
          <t>· 蓝字为手输或假设，蓝字黄底为关键驱动；黑字为公式链接，改动上游会自动联动。</t>
        </is>
      </c>
    </row>
    <row r="37">
      <c r="B37" s="3" t="inlineStr">
        <is>
          <t>· 本底稿由模型按既定假设计算，仅供研究与教学用途，不构成投资建议。</t>
        </is>
      </c>
    </row>
    <row r="38">
      <c r="B38" s="3" t="inlineStr">
        <is>
          <t>本结果由模型按既定假设计算，仅供研究与教学用途，不构成投资建议。</t>
        </is>
      </c>
    </row>
  </sheetData>
  <mergeCells count="6">
    <mergeCell ref="B30:F30"/>
    <mergeCell ref="B29:F29"/>
    <mergeCell ref="B28:F28"/>
    <mergeCell ref="B31:F31"/>
    <mergeCell ref="B26:F26"/>
    <mergeCell ref="B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6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8" customWidth="1" min="3" max="3"/>
    <col width="44" customWidth="1" min="4" max="4"/>
  </cols>
  <sheetData>
    <row r="2">
      <c r="B2" s="1" t="inlineStr">
        <is>
          <t>参数假设</t>
        </is>
      </c>
    </row>
    <row r="3">
      <c r="B3" s="3" t="inlineStr">
        <is>
          <t>蓝字为手输假设，蓝字黄底为关键驱动。</t>
        </is>
      </c>
    </row>
    <row r="5">
      <c r="B5" s="8" t="inlineStr">
        <is>
          <t>参数</t>
        </is>
      </c>
      <c r="C5" s="8" t="inlineStr">
        <is>
          <t>取值</t>
        </is>
      </c>
      <c r="D5" s="8" t="inlineStr">
        <is>
          <t>来源 / 口径</t>
        </is>
      </c>
    </row>
    <row r="6">
      <c r="B6" s="9" t="inlineStr">
        <is>
          <t>预测期年数</t>
        </is>
      </c>
      <c r="C6" s="15" t="n">
        <v>5</v>
      </c>
      <c r="D6" s="16" t="inlineStr">
        <is>
          <t>模型设定，允许 3–10 年</t>
        </is>
      </c>
    </row>
    <row r="7">
      <c r="B7" s="9" t="inlineStr">
        <is>
          <t>首年收入增速</t>
        </is>
      </c>
      <c r="C7" s="17" t="n">
        <v>0.121299489894386</v>
      </c>
      <c r="D7" s="16" t="inlineStr">
        <is>
          <t>历史 CAGR</t>
        </is>
      </c>
    </row>
    <row r="8">
      <c r="B8" s="18" t="inlineStr">
        <is>
          <t>永续增长率 g</t>
        </is>
      </c>
      <c r="C8" s="19" t="n">
        <v>0.025</v>
      </c>
      <c r="D8" s="16" t="inlineStr">
        <is>
          <t>上限 4.0%（按市场长期名义 GDP 推得）</t>
        </is>
      </c>
    </row>
    <row r="9">
      <c r="B9" s="18" t="inlineStr">
        <is>
          <t>EBIT 利润率</t>
        </is>
      </c>
      <c r="C9" s="19" t="n">
        <v>0.6872963258635487</v>
      </c>
      <c r="D9" s="16" t="inlineStr">
        <is>
          <t>近三年中位数</t>
        </is>
      </c>
    </row>
    <row r="10">
      <c r="B10" s="9" t="inlineStr">
        <is>
          <t>折旧摊销 / 收入</t>
        </is>
      </c>
      <c r="C10" s="17" t="n">
        <v>0.05</v>
      </c>
      <c r="D10" s="16" t="inlineStr">
        <is>
          <t>缺数据，兜底 5%</t>
        </is>
      </c>
    </row>
    <row r="11">
      <c r="B11" s="9" t="inlineStr">
        <is>
          <t>资本开支 / 收入</t>
        </is>
      </c>
      <c r="C11" s="17" t="n">
        <v>0.01817796617214858</v>
      </c>
      <c r="D11" s="16" t="inlineStr">
        <is>
          <t>近三年中位数</t>
        </is>
      </c>
    </row>
    <row r="12">
      <c r="B12" s="9" t="inlineStr">
        <is>
          <t>营运资本变动 / 收入</t>
        </is>
      </c>
      <c r="C12" s="17" t="n">
        <v>0.04275094037611991</v>
      </c>
      <c r="D12" s="16" t="inlineStr">
        <is>
          <t>近三年中位数</t>
        </is>
      </c>
    </row>
    <row r="14">
      <c r="B14" s="9" t="inlineStr">
        <is>
          <t>无风险利率 rf</t>
        </is>
      </c>
      <c r="C14" s="17" t="n">
        <v>0.018</v>
      </c>
      <c r="D14" s="16" t="inlineStr">
        <is>
          <t>基准日 10 年期国债收益率</t>
        </is>
      </c>
    </row>
    <row r="15">
      <c r="B15" s="9" t="inlineStr">
        <is>
          <t>股权风险溢价 ERP</t>
        </is>
      </c>
      <c r="C15" s="17" t="n">
        <v>0.0514</v>
      </c>
      <c r="D15" s="16" t="inlineStr">
        <is>
          <t>Damodaran 国家风险溢价</t>
        </is>
      </c>
    </row>
    <row r="16">
      <c r="B16" s="18" t="inlineStr">
        <is>
          <t>Beta</t>
        </is>
      </c>
      <c r="C16" s="20" t="n">
        <v>0.5527969523232812</v>
      </c>
      <c r="D16" s="16" t="inlineStr">
        <is>
          <t>数据源 Beta</t>
        </is>
      </c>
    </row>
    <row r="17">
      <c r="B17" s="9" t="inlineStr">
        <is>
          <t>规模溢价</t>
        </is>
      </c>
      <c r="C17" s="17" t="n">
        <v>0</v>
      </c>
      <c r="D17" s="16" t="inlineStr">
        <is>
          <t>小市值补充回报</t>
        </is>
      </c>
    </row>
    <row r="18">
      <c r="B18" s="9" t="inlineStr">
        <is>
          <t>股权成本 Ke</t>
        </is>
      </c>
      <c r="C18" s="17" t="n">
        <v>0.04641376334941665</v>
      </c>
      <c r="D18" s="16">
        <f> rf + β×ERP + 规模溢价</f>
        <v/>
      </c>
    </row>
    <row r="19">
      <c r="B19" s="9" t="inlineStr">
        <is>
          <t>税前债务成本 Kd</t>
        </is>
      </c>
      <c r="C19" s="17" t="n">
        <v>0.035</v>
      </c>
      <c r="D19" s="16" t="inlineStr">
        <is>
          <t>A 市场默认值</t>
        </is>
      </c>
    </row>
    <row r="20">
      <c r="B20" s="9" t="inlineStr">
        <is>
          <t>所得税率</t>
        </is>
      </c>
      <c r="C20" s="17" t="n">
        <v>0.2532949707852952</v>
      </c>
      <c r="D20" s="16" t="inlineStr">
        <is>
          <t>近三年有效税率中位数（夹在 15%–30%）</t>
        </is>
      </c>
    </row>
    <row r="21">
      <c r="B21" s="9" t="inlineStr">
        <is>
          <t>股权占比 E/V</t>
        </is>
      </c>
      <c r="C21" s="21" t="n">
        <v>1</v>
      </c>
      <c r="D21" s="16" t="inlineStr">
        <is>
          <t>当前市值口径（E=市值，D=报表有息负债）</t>
        </is>
      </c>
    </row>
    <row r="22">
      <c r="B22" s="9" t="inlineStr">
        <is>
          <t>债务占比 D/V</t>
        </is>
      </c>
      <c r="C22" s="21" t="n">
        <v>0</v>
      </c>
      <c r="D22" s="16" t="inlineStr"/>
    </row>
    <row r="23">
      <c r="B23" s="18" t="inlineStr">
        <is>
          <t>WACC</t>
        </is>
      </c>
      <c r="C23" s="19" t="n">
        <v>0.04641376334941665</v>
      </c>
      <c r="D23" s="16">
        <f> E/V×Ke + D/V×Kd×(1−税率)</f>
        <v/>
      </c>
    </row>
    <row r="25">
      <c r="B25" s="4" t="inlineStr">
        <is>
          <t>隐含资本成本反查</t>
        </is>
      </c>
    </row>
    <row r="26" ht="40" customHeight="1">
      <c r="B26" s="3" t="inlineStr">
        <is>
          <t>由当前 PE（18.5 倍）反推：盈利收益率 5.39% + 永续增速 2.50% = 隐含资本成本 7.89%；与算出的 WACC（4.64%）相差 325bp，**超过 300bp，请核对 beta / ERP / 增速中哪一个偏了**</t>
        </is>
      </c>
    </row>
  </sheetData>
  <mergeCells count="1">
    <mergeCell ref="B26:D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2">
      <c r="B2" s="1" t="inlineStr">
        <is>
          <t>DCF 测算（FCFF 口径）</t>
        </is>
      </c>
    </row>
    <row r="3">
      <c r="B3" s="3" t="inlineStr">
        <is>
          <t>折现率取「参数假设」页的 WACC；终值取 Gordon 与退出倍数法的中点。</t>
        </is>
      </c>
    </row>
    <row r="5">
      <c r="B5" s="8" t="inlineStr">
        <is>
          <t>项目</t>
        </is>
      </c>
      <c r="C5" s="8" t="inlineStr">
        <is>
          <t>第 1 年</t>
        </is>
      </c>
      <c r="D5" s="8" t="inlineStr">
        <is>
          <t>第 2 年</t>
        </is>
      </c>
      <c r="E5" s="8" t="inlineStr">
        <is>
          <t>第 3 年</t>
        </is>
      </c>
      <c r="F5" s="8" t="inlineStr">
        <is>
          <t>第 4 年</t>
        </is>
      </c>
      <c r="G5" s="8" t="inlineStr">
        <is>
          <t>第 5 年</t>
        </is>
      </c>
    </row>
    <row r="6">
      <c r="B6" s="22" t="inlineStr">
        <is>
          <t>收入增速</t>
        </is>
      </c>
      <c r="D6" s="12" t="n">
        <v>0.121299489894386</v>
      </c>
      <c r="E6" s="12" t="n">
        <v>0.0972246174207895</v>
      </c>
      <c r="F6" s="12" t="n">
        <v>0.07314974494719299</v>
      </c>
      <c r="G6" s="12" t="n">
        <v>0.04907487247359649</v>
      </c>
      <c r="H6" s="12" t="n">
        <v>0.02499999999999999</v>
      </c>
    </row>
    <row r="7">
      <c r="B7" s="22" t="inlineStr">
        <is>
          <t>营业收入</t>
        </is>
      </c>
      <c r="D7" s="10" t="n">
        <v>192924255175.4784</v>
      </c>
      <c r="E7" s="10" t="n">
        <v>211681242076.1051</v>
      </c>
      <c r="F7" s="10" t="n">
        <v>227165670944.0772</v>
      </c>
      <c r="G7" s="10" t="n">
        <v>238313797276.0368</v>
      </c>
      <c r="H7" s="10" t="n">
        <v>244271642207.9377</v>
      </c>
    </row>
    <row r="8">
      <c r="B8" s="22" t="inlineStr">
        <is>
          <t>EBIT</t>
        </is>
      </c>
      <c r="D8" s="10" t="n">
        <v>132596131752.068</v>
      </c>
      <c r="E8" s="10" t="n">
        <v>145487739933.1395</v>
      </c>
      <c r="F8" s="10" t="n">
        <v>156130131002.1921</v>
      </c>
      <c r="G8" s="10" t="n">
        <v>163792197270.4106</v>
      </c>
      <c r="H8" s="10" t="n">
        <v>167887002202.1709</v>
      </c>
    </row>
    <row r="9">
      <c r="B9" s="22" t="inlineStr">
        <is>
          <t>减：现金所得税</t>
        </is>
      </c>
      <c r="D9" s="10" t="n">
        <v>33585933318.38322</v>
      </c>
      <c r="E9" s="10" t="n">
        <v>36851312835.98318</v>
      </c>
      <c r="F9" s="10" t="n">
        <v>39546976970.90456</v>
      </c>
      <c r="G9" s="10" t="n">
        <v>41487739822.46796</v>
      </c>
      <c r="H9" s="10" t="n">
        <v>42524933318.02967</v>
      </c>
    </row>
    <row r="10">
      <c r="B10" s="23" t="inlineStr">
        <is>
          <t>NOPAT</t>
        </is>
      </c>
      <c r="D10" s="24" t="n">
        <v>99010198433.6848</v>
      </c>
      <c r="E10" s="24" t="n">
        <v>108636427097.1563</v>
      </c>
      <c r="F10" s="24" t="n">
        <v>116583154031.2876</v>
      </c>
      <c r="G10" s="24" t="n">
        <v>122304457447.9427</v>
      </c>
      <c r="H10" s="24" t="n">
        <v>125362068884.1413</v>
      </c>
    </row>
    <row r="11">
      <c r="B11" s="22" t="inlineStr">
        <is>
          <t>加：折旧摊销</t>
        </is>
      </c>
      <c r="D11" s="10" t="n">
        <v>9646212758.77392</v>
      </c>
      <c r="E11" s="10" t="n">
        <v>10584062103.80525</v>
      </c>
      <c r="F11" s="10" t="n">
        <v>11358283547.20386</v>
      </c>
      <c r="G11" s="10" t="n">
        <v>11915689863.80184</v>
      </c>
      <c r="H11" s="10" t="n">
        <v>12213582110.39688</v>
      </c>
    </row>
    <row r="12">
      <c r="B12" s="22" t="inlineStr">
        <is>
          <t>减：资本开支</t>
        </is>
      </c>
      <c r="D12" s="10" t="n">
        <v>3506970584.366807</v>
      </c>
      <c r="E12" s="10" t="n">
        <v>3847934457.737833</v>
      </c>
      <c r="F12" s="10" t="n">
        <v>4129409881.894871</v>
      </c>
      <c r="G12" s="10" t="n">
        <v>4332060145.240072</v>
      </c>
      <c r="H12" s="10" t="n">
        <v>4440361648.871074</v>
      </c>
    </row>
    <row r="13">
      <c r="B13" s="22" t="inlineStr">
        <is>
          <t>减：营运资本增加</t>
        </is>
      </c>
      <c r="D13" s="10" t="n">
        <v>8247693330.114221</v>
      </c>
      <c r="E13" s="10" t="n">
        <v>9049572158.738573</v>
      </c>
      <c r="F13" s="10" t="n">
        <v>9711546054.031519</v>
      </c>
      <c r="G13" s="10" t="n">
        <v>10188138938.15458</v>
      </c>
      <c r="H13" s="10" t="n">
        <v>10442842411.60844</v>
      </c>
    </row>
    <row r="14">
      <c r="B14" s="22" t="inlineStr">
        <is>
          <t>减：股份支付（如计入现金）</t>
        </is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</row>
    <row r="15">
      <c r="B15" s="23" t="inlineStr">
        <is>
          <t>自由现金流 FCFF</t>
        </is>
      </c>
      <c r="D15" s="24" t="n">
        <v>96901747277.97769</v>
      </c>
      <c r="E15" s="24" t="n">
        <v>106322982584.4851</v>
      </c>
      <c r="F15" s="24" t="n">
        <v>114100481642.565</v>
      </c>
      <c r="G15" s="24" t="n">
        <v>119699948228.3499</v>
      </c>
      <c r="H15" s="24" t="n">
        <v>122692446934.0586</v>
      </c>
    </row>
    <row r="16">
      <c r="B16" s="25" t="inlineStr">
        <is>
          <t>折现系数</t>
        </is>
      </c>
      <c r="D16" s="26" t="n">
        <v>0.9556449227112104</v>
      </c>
      <c r="E16" s="26" t="n">
        <v>0.9132572183037152</v>
      </c>
      <c r="F16" s="26" t="n">
        <v>0.8727496238013089</v>
      </c>
      <c r="G16" s="26" t="n">
        <v>0.8340387467838397</v>
      </c>
      <c r="H16" s="26" t="n">
        <v>0.7970448937083973</v>
      </c>
    </row>
    <row r="17">
      <c r="B17" s="22" t="inlineStr">
        <is>
          <t>现金流现值</t>
        </is>
      </c>
      <c r="D17" s="10" t="n">
        <v>92603662788.04424</v>
      </c>
      <c r="E17" s="10" t="n">
        <v>97100231316.86124</v>
      </c>
      <c r="F17" s="10" t="n">
        <v>99581152429.09679</v>
      </c>
      <c r="G17" s="10" t="n">
        <v>99834394810.46342</v>
      </c>
      <c r="H17" s="10" t="n">
        <v>97791388325.37993</v>
      </c>
    </row>
    <row r="19">
      <c r="B19" s="27" t="inlineStr">
        <is>
          <t>详细预测期现值合计</t>
        </is>
      </c>
      <c r="C19" s="28" t="n">
        <v>486910829669.8456</v>
      </c>
    </row>
    <row r="20">
      <c r="B20" s="27" t="inlineStr">
        <is>
          <t>终值 · Gordon 永续法</t>
        </is>
      </c>
      <c r="C20" s="28" t="n">
        <v>5872847105636.665</v>
      </c>
    </row>
    <row r="21">
      <c r="B21" s="27" t="inlineStr">
        <is>
          <t>终值 · 退出倍数法</t>
        </is>
      </c>
      <c r="C21" s="28" t="n">
        <v>1116623622737.92</v>
      </c>
      <c r="E21" s="3" t="inlineStr">
        <is>
          <t>退出倍数取值 6.20x（同业中位 EV/EBITDA）</t>
        </is>
      </c>
    </row>
    <row r="22">
      <c r="B22" s="23" t="inlineStr">
        <is>
          <t>终值取中点</t>
        </is>
      </c>
      <c r="C22" s="24" t="n">
        <v>3494735364187.293</v>
      </c>
    </row>
    <row r="23">
      <c r="B23" s="27" t="inlineStr">
        <is>
          <t>终值现值</t>
        </is>
      </c>
      <c r="C23" s="28" t="n">
        <v>2785460976887.638</v>
      </c>
    </row>
    <row r="24">
      <c r="B24" s="23" t="inlineStr">
        <is>
          <t>企业价值 EV</t>
        </is>
      </c>
      <c r="C24" s="24" t="n">
        <v>3272371806557.484</v>
      </c>
    </row>
    <row r="25">
      <c r="B25" s="27" t="inlineStr">
        <is>
          <t>加：货币资金</t>
        </is>
      </c>
      <c r="C25" s="28" t="n">
        <v>51690610946.5</v>
      </c>
    </row>
    <row r="26">
      <c r="B26" s="27" t="inlineStr">
        <is>
          <t>减：有息负债</t>
        </is>
      </c>
      <c r="C26" s="28" t="n">
        <v>0</v>
      </c>
    </row>
    <row r="27">
      <c r="B27" s="27" t="inlineStr">
        <is>
          <t>减：少数股东权益</t>
        </is>
      </c>
      <c r="C27" s="28" t="n">
        <v>9321442876.889999</v>
      </c>
    </row>
    <row r="28">
      <c r="B28" s="27" t="inlineStr">
        <is>
          <t>减：优先股</t>
        </is>
      </c>
      <c r="C28" s="28" t="n">
        <v>0</v>
      </c>
    </row>
    <row r="29">
      <c r="B29" s="23" t="inlineStr">
        <is>
          <t>股权价值</t>
        </is>
      </c>
      <c r="C29" s="24" t="n">
        <v>3314740974627.094</v>
      </c>
    </row>
    <row r="30">
      <c r="B30" s="23" t="inlineStr">
        <is>
          <t>每股价值</t>
        </is>
      </c>
      <c r="C30" s="24" t="n">
        <v>2646.985398935719</v>
      </c>
    </row>
    <row r="31">
      <c r="B31" s="29" t="inlineStr">
        <is>
          <t>终值占企业价值比例</t>
        </is>
      </c>
      <c r="C31" s="30" t="n">
        <v>0.8512055296729644</v>
      </c>
    </row>
    <row r="32">
      <c r="B32" s="29" t="inlineStr">
        <is>
          <t>终值两法偏离度</t>
        </is>
      </c>
      <c r="C32" s="30" t="n">
        <v>1.360968138428648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2">
      <c r="B2" s="1" t="inlineStr">
        <is>
          <t>相对估值（可比公司法）</t>
        </is>
      </c>
    </row>
    <row r="3">
      <c r="B3" s="3" t="inlineStr">
        <is>
          <t>每个选用倍数取同业中位数，再按目标与同业的差异做调整。</t>
        </is>
      </c>
    </row>
    <row r="5">
      <c r="B5" s="8" t="inlineStr">
        <is>
          <t>选用倍数</t>
        </is>
      </c>
      <c r="C5" s="8" t="inlineStr">
        <is>
          <t>同业中位数</t>
        </is>
      </c>
      <c r="D5" s="8" t="inlineStr">
        <is>
          <t>调整幅度</t>
        </is>
      </c>
      <c r="E5" s="8" t="inlineStr">
        <is>
          <t>采用倍数</t>
        </is>
      </c>
      <c r="F5" s="8" t="inlineStr">
        <is>
          <t>对应指标</t>
        </is>
      </c>
      <c r="G5" s="8" t="inlineStr">
        <is>
          <t>指标值</t>
        </is>
      </c>
      <c r="H5" s="8" t="inlineStr">
        <is>
          <t>隐含股权价值</t>
        </is>
      </c>
    </row>
    <row r="6">
      <c r="B6" s="9" t="inlineStr">
        <is>
          <t>市盈率 PE</t>
        </is>
      </c>
      <c r="C6" s="31" t="n">
        <v>9.69</v>
      </c>
      <c r="D6" s="21" t="n">
        <v>0</v>
      </c>
      <c r="E6" s="31" t="n">
        <v>9.69</v>
      </c>
      <c r="F6" s="9" t="inlineStr">
        <is>
          <t>净利润</t>
        </is>
      </c>
      <c r="G6" s="10" t="n">
        <v>85310324833.67</v>
      </c>
    </row>
    <row r="7">
      <c r="B7" s="9" t="inlineStr">
        <is>
          <t>市销率 PS</t>
        </is>
      </c>
      <c r="C7" s="31" t="n">
        <v>3.07</v>
      </c>
      <c r="D7" s="21" t="n">
        <v>0</v>
      </c>
      <c r="E7" s="31" t="n">
        <v>3.07</v>
      </c>
      <c r="F7" s="9" t="inlineStr">
        <is>
          <t>营业收入</t>
        </is>
      </c>
      <c r="G7" s="10" t="n">
        <v>172054171890.91</v>
      </c>
    </row>
    <row r="8">
      <c r="B8" s="9" t="inlineStr">
        <is>
          <t>市净率 PB</t>
        </is>
      </c>
      <c r="C8" s="31" t="n">
        <v>2.01</v>
      </c>
      <c r="D8" s="21" t="n">
        <v>0</v>
      </c>
      <c r="E8" s="31" t="n">
        <v>2.01</v>
      </c>
      <c r="F8" s="9" t="inlineStr">
        <is>
          <t>净资产</t>
        </is>
      </c>
      <c r="G8" s="10" t="n">
        <v>253959253909.07</v>
      </c>
    </row>
    <row r="9">
      <c r="B9" s="2" t="inlineStr">
        <is>
          <t>各倍数隐含股权价值（中位）</t>
        </is>
      </c>
      <c r="C9" s="24" t="n">
        <v>528206307705.0937</v>
      </c>
    </row>
    <row r="10">
      <c r="B10" s="2" t="inlineStr">
        <is>
          <t>隐含每股价值</t>
        </is>
      </c>
      <c r="C10" s="24" t="n">
        <v>421.798986654884</v>
      </c>
    </row>
    <row r="11">
      <c r="B11" s="32" t="inlineStr">
        <is>
          <t>隐含股权价值区间</t>
        </is>
      </c>
      <c r="C11" s="10" t="n">
        <v>510458100357.2307</v>
      </c>
      <c r="D11" s="10" t="n">
        <v>826657047638.2622</v>
      </c>
    </row>
    <row r="13">
      <c r="B13" s="4" t="inlineStr">
        <is>
          <t>可比公司数据</t>
        </is>
      </c>
    </row>
    <row r="15">
      <c r="B15" s="2" t="inlineStr">
        <is>
          <t>口径说明</t>
        </is>
      </c>
    </row>
    <row r="16">
      <c r="B16" s="3" t="inlineStr">
        <is>
          <t>· 同业中位数而非均值：中位数对极端值更稳健。</t>
        </is>
      </c>
    </row>
    <row r="17">
      <c r="B17" s="3" t="inlineStr">
        <is>
          <t>· 调整幅度体现目标与同业在增速、利润率、杠杆上的差异，须在交付时说明理由。</t>
        </is>
      </c>
    </row>
    <row r="18">
      <c r="B18" s="3" t="inlineStr">
        <is>
          <t>· EV 类倍数算出企业价值后需扣减净负债，才是股权价值。</t>
        </is>
      </c>
    </row>
  </sheetData>
  <mergeCells count="3">
    <mergeCell ref="B16:G16"/>
    <mergeCell ref="B18:G18"/>
    <mergeCell ref="B17:G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18" customWidth="1" min="5" max="5"/>
  </cols>
  <sheetData>
    <row r="2">
      <c r="B2" s="1" t="inlineStr">
        <is>
          <t>三法融合</t>
        </is>
      </c>
    </row>
    <row r="3">
      <c r="B3" s="3" t="inlineStr">
        <is>
          <t>默认权重：DCF 50% / 相对估值 50%</t>
        </is>
      </c>
    </row>
    <row r="5">
      <c r="B5" s="8" t="inlineStr">
        <is>
          <t>方法</t>
        </is>
      </c>
      <c r="C5" s="8" t="inlineStr">
        <is>
          <t>每股价值</t>
        </is>
      </c>
      <c r="D5" s="8" t="inlineStr">
        <is>
          <t>权重</t>
        </is>
      </c>
      <c r="E5" s="8" t="inlineStr">
        <is>
          <t>股权价值</t>
        </is>
      </c>
    </row>
    <row r="6">
      <c r="B6" s="9" t="inlineStr">
        <is>
          <t>DCF（收益法）</t>
        </is>
      </c>
      <c r="C6" s="10" t="n">
        <v>2646.985398935719</v>
      </c>
      <c r="D6" s="33" t="n">
        <v>0.5</v>
      </c>
      <c r="E6" s="10" t="n">
        <v>3314740974627.094</v>
      </c>
    </row>
    <row r="7">
      <c r="B7" s="9" t="inlineStr">
        <is>
          <t>相对估值（市场法）</t>
        </is>
      </c>
      <c r="C7" s="10" t="n">
        <v>421.798986654884</v>
      </c>
      <c r="D7" s="33" t="n">
        <v>0.5</v>
      </c>
      <c r="E7" s="10" t="n">
        <v>528206307705.0937</v>
      </c>
    </row>
    <row r="9">
      <c r="B9" s="2" t="inlineStr">
        <is>
          <t>融合每股价值</t>
        </is>
      </c>
      <c r="C9" s="34" t="n">
        <v>1534.392192795302</v>
      </c>
    </row>
    <row r="10">
      <c r="B10" s="32" t="inlineStr">
        <is>
          <t>当前市价</t>
        </is>
      </c>
      <c r="C10" s="35" t="n">
        <v>1263</v>
      </c>
    </row>
    <row r="11">
      <c r="B11" s="2" t="inlineStr">
        <is>
          <t>判断</t>
        </is>
      </c>
      <c r="C11" s="23" t="inlineStr">
        <is>
          <t>低估</t>
        </is>
      </c>
    </row>
    <row r="12">
      <c r="B12" s="2" t="inlineStr">
        <is>
          <t>上行空间</t>
        </is>
      </c>
      <c r="C12" s="36" t="n">
        <v>0.2148790125061772</v>
      </c>
    </row>
    <row r="14">
      <c r="B14" s="3" t="inlineStr">
        <is>
          <t>各方法相对位置</t>
        </is>
      </c>
    </row>
    <row r="15">
      <c r="B15" s="3" t="inlineStr">
        <is>
          <t>最乐观：DCF（收益法）</t>
        </is>
      </c>
    </row>
    <row r="16">
      <c r="B16" s="3" t="inlineStr">
        <is>
          <t>最保守：相对估值（市场法）</t>
        </is>
      </c>
    </row>
    <row r="18">
      <c r="B18" s="4" t="inlineStr">
        <is>
          <t>三情景对照</t>
        </is>
      </c>
    </row>
    <row r="19">
      <c r="B19" s="8" t="inlineStr">
        <is>
          <t>情景</t>
        </is>
      </c>
      <c r="C19" s="8" t="inlineStr">
        <is>
          <t>每股价值</t>
        </is>
      </c>
      <c r="D19" s="8" t="inlineStr">
        <is>
          <t>首年增速</t>
        </is>
      </c>
      <c r="E19" s="8" t="inlineStr">
        <is>
          <t>EBIT 利润率</t>
        </is>
      </c>
    </row>
    <row r="20">
      <c r="B20" s="9" t="inlineStr">
        <is>
          <t>乐观</t>
        </is>
      </c>
      <c r="C20" s="10" t="n">
        <v>4932.597299638844</v>
      </c>
      <c r="D20" s="12" t="n">
        <v>0.151299489894386</v>
      </c>
      <c r="E20" s="12" t="n">
        <v>0.7072963258635487</v>
      </c>
    </row>
    <row r="21">
      <c r="B21" s="9" t="inlineStr">
        <is>
          <t>基准</t>
        </is>
      </c>
      <c r="C21" s="10" t="n">
        <v>2646.985398935719</v>
      </c>
      <c r="D21" s="12" t="n">
        <v>0.121299489894386</v>
      </c>
      <c r="E21" s="12" t="n">
        <v>0.6872963258635487</v>
      </c>
    </row>
    <row r="22">
      <c r="B22" s="9" t="inlineStr">
        <is>
          <t>悲观</t>
        </is>
      </c>
      <c r="C22" s="10" t="n">
        <v>1788.471201349219</v>
      </c>
      <c r="D22" s="12" t="n">
        <v>0.09129948989438599</v>
      </c>
      <c r="E22" s="12" t="n">
        <v>0.6672963258635487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0"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B2" s="1" t="inlineStr">
        <is>
          <t>敏感性分析：每股价值 = f(WACC, 永续增长率)</t>
        </is>
      </c>
    </row>
    <row r="3">
      <c r="B3" s="3" t="inlineStr">
        <is>
          <t>行 = WACC，列 = 永续增长率。默认 ±1.0% / ±0.5%</t>
        </is>
      </c>
    </row>
    <row r="5">
      <c r="B5" s="8" t="inlineStr">
        <is>
          <t>WACC \ g</t>
        </is>
      </c>
      <c r="C5" s="8" t="inlineStr">
        <is>
          <t>1.50%</t>
        </is>
      </c>
      <c r="D5" s="8" t="inlineStr">
        <is>
          <t>2.00%</t>
        </is>
      </c>
      <c r="E5" s="8" t="inlineStr">
        <is>
          <t>2.50%</t>
        </is>
      </c>
      <c r="F5" s="8" t="inlineStr">
        <is>
          <t>3.00%</t>
        </is>
      </c>
      <c r="G5" s="8" t="inlineStr">
        <is>
          <t>3.50%</t>
        </is>
      </c>
    </row>
    <row r="6">
      <c r="B6" s="37" t="n">
        <v>0.03641376334941665</v>
      </c>
      <c r="D6" s="10" t="n">
        <v>2690.180802264418</v>
      </c>
      <c r="E6" s="10" t="n">
        <v>3316.164253784342</v>
      </c>
      <c r="F6" s="10" t="n">
        <v>4485.899696186933</v>
      </c>
      <c r="G6" s="10" t="n">
        <v>7470.972577863128</v>
      </c>
      <c r="H6" s="10" t="n">
        <v>31531.62593902054</v>
      </c>
    </row>
    <row r="7">
      <c r="B7" s="37" t="n">
        <v>0.04141376334941665</v>
      </c>
      <c r="D7" s="10" t="n">
        <v>2280.367951774453</v>
      </c>
      <c r="E7" s="10" t="n">
        <v>2668.420396826362</v>
      </c>
      <c r="F7" s="10" t="n">
        <v>3289.715289039051</v>
      </c>
      <c r="G7" s="10" t="n">
        <v>4450.726557355519</v>
      </c>
      <c r="H7" s="10" t="n">
        <v>7413.603322730521</v>
      </c>
    </row>
    <row r="8">
      <c r="B8" s="37" t="n">
        <v>0.04641376334941665</v>
      </c>
      <c r="D8" s="38" t="n">
        <v>1997.675352153308</v>
      </c>
      <c r="E8" s="38" t="n">
        <v>2261.83525027749</v>
      </c>
      <c r="F8" s="38" t="n">
        <v>2646.985398935719</v>
      </c>
      <c r="G8" s="38" t="n">
        <v>3263.658242762725</v>
      </c>
      <c r="H8" s="38" t="n">
        <v>4416.068613581503</v>
      </c>
    </row>
    <row r="9">
      <c r="B9" s="37" t="n">
        <v>0.05141376334941665</v>
      </c>
      <c r="D9" s="10" t="n">
        <v>1789.855252697502</v>
      </c>
      <c r="E9" s="10" t="n">
        <v>1981.395038817678</v>
      </c>
      <c r="F9" s="10" t="n">
        <v>2243.580139318964</v>
      </c>
      <c r="G9" s="10" t="n">
        <v>2625.869134490519</v>
      </c>
      <c r="H9" s="10" t="n">
        <v>3237.985135037309</v>
      </c>
    </row>
    <row r="10">
      <c r="B10" s="37" t="n">
        <v>0.05641376334941665</v>
      </c>
      <c r="D10" s="10" t="n">
        <v>1629.887562990228</v>
      </c>
      <c r="E10" s="10" t="n">
        <v>1775.25135875403</v>
      </c>
      <c r="F10" s="10" t="n">
        <v>1965.358623310718</v>
      </c>
      <c r="G10" s="10" t="n">
        <v>2225.596924164021</v>
      </c>
      <c r="H10" s="10" t="n">
        <v>2605.065101287827</v>
      </c>
    </row>
    <row r="12">
      <c r="B12" s="3" t="inlineStr">
        <is>
          <t>每格都是独立重算的结果，不是 Excel 模拟运算表。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40" customWidth="1" min="2" max="2"/>
    <col width="14" customWidth="1" min="3" max="3"/>
    <col width="14" customWidth="1" min="4" max="4"/>
    <col width="20" customWidth="1" min="5" max="5"/>
  </cols>
  <sheetData>
    <row r="2">
      <c r="B2" s="1" t="inlineStr">
        <is>
          <t>数据来源与口径</t>
        </is>
      </c>
    </row>
    <row r="4">
      <c r="B4" s="8" t="inlineStr">
        <is>
          <t>来源</t>
        </is>
      </c>
      <c r="C4" s="8" t="inlineStr">
        <is>
          <t>用途</t>
        </is>
      </c>
      <c r="D4" s="8" t="inlineStr">
        <is>
          <t>取数日</t>
        </is>
      </c>
      <c r="E4" s="8" t="inlineStr">
        <is>
          <t>性质</t>
        </is>
      </c>
    </row>
    <row r="5">
      <c r="B5" s="9" t="inlineStr">
        <is>
          <t>新浪财经·利润表</t>
        </is>
      </c>
      <c r="C5" s="9" t="inlineStr">
        <is>
          <t>财务/市场数据</t>
        </is>
      </c>
      <c r="D5" s="9" t="inlineStr">
        <is>
          <t>2026-10-11</t>
        </is>
      </c>
      <c r="E5" s="9" t="inlineStr">
        <is>
          <t>非官方源</t>
        </is>
      </c>
    </row>
    <row r="6">
      <c r="B6" s="9" t="inlineStr">
        <is>
          <t>新浪财经·资产负债表</t>
        </is>
      </c>
      <c r="C6" s="9" t="inlineStr">
        <is>
          <t>财务/市场数据</t>
        </is>
      </c>
      <c r="D6" s="9" t="inlineStr">
        <is>
          <t>2026-10-11</t>
        </is>
      </c>
      <c r="E6" s="9" t="inlineStr">
        <is>
          <t>非官方源</t>
        </is>
      </c>
    </row>
    <row r="7">
      <c r="B7" s="9" t="inlineStr">
        <is>
          <t>新浪财经·现金流量表</t>
        </is>
      </c>
      <c r="C7" s="9" t="inlineStr">
        <is>
          <t>财务/市场数据</t>
        </is>
      </c>
      <c r="D7" s="9" t="inlineStr">
        <is>
          <t>2026-10-11</t>
        </is>
      </c>
      <c r="E7" s="9" t="inlineStr">
        <is>
          <t>非官方源</t>
        </is>
      </c>
    </row>
    <row r="8">
      <c r="B8" s="9" t="inlineStr">
        <is>
          <t>新浪财经·行情</t>
        </is>
      </c>
      <c r="C8" s="9" t="inlineStr">
        <is>
          <t>财务/市场数据</t>
        </is>
      </c>
      <c r="D8" s="9" t="inlineStr">
        <is>
          <t>2026-10-11</t>
        </is>
      </c>
      <c r="E8" s="9" t="inlineStr">
        <is>
          <t>非官方源</t>
        </is>
      </c>
    </row>
    <row r="9">
      <c r="B9" s="9" t="inlineStr">
        <is>
          <t>新浪财经·日行情（Beta 回归）</t>
        </is>
      </c>
      <c r="C9" s="9" t="inlineStr">
        <is>
          <t>财务/市场数据</t>
        </is>
      </c>
      <c r="D9" s="9" t="inlineStr">
        <is>
          <t>2026-10-11</t>
        </is>
      </c>
      <c r="E9" s="9" t="inlineStr">
        <is>
          <t>非官方源</t>
        </is>
      </c>
    </row>
    <row r="12" ht="32" customHeight="1">
      <c r="B12" s="3" t="inlineStr">
        <is>
          <t>as-of 规则：所有市场数据原则上取基准日或之前可获得的数据；确需使用基准日之后发布的数据时，须显式标注「后见信息」并请使用者确认。</t>
        </is>
      </c>
    </row>
  </sheetData>
  <mergeCells count="1">
    <mergeCell ref="B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2026-10-11T07:20:53Z</dcterms:created>
  <dcterms:modified xsi:type="dcterms:W3CDTF">2026-10-11T07:20:53Z</dcterms:modified>
</cp:coreProperties>
</file>