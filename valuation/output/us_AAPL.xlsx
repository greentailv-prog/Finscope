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参数假设" sheetId="2" state="visible" r:id="rId2"/>
    <sheet name="DCF测算" sheetId="3" state="visible" r:id="rId3"/>
    <sheet name="相对估值" sheetId="4" state="visible" r:id="rId4"/>
    <sheet name="三法融合" sheetId="5" state="visible" r:id="rId5"/>
    <sheet name="敏感性分析" sheetId="6" state="visible" r:id="rId6"/>
    <sheet name="数据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(#,##0.00);_ * &quot;-&quot;??_ ;_ @_ "/>
    <numFmt numFmtId="165" formatCode="0.0%"/>
  </numFmts>
  <fonts count="13">
    <font>
      <name val="Calibri"/>
      <family val="2"/>
      <color theme="1"/>
      <sz val="11"/>
      <scheme val="minor"/>
    </font>
    <font>
      <name val="Times New Roman"/>
      <b val="1"/>
      <color rgb="FF0B2545"/>
      <sz val="14"/>
    </font>
    <font>
      <name val="Times New Roman"/>
      <b val="1"/>
      <sz val="10"/>
    </font>
    <font>
      <name val="Times New Roman"/>
      <color rgb="FF808080"/>
      <sz val="9"/>
    </font>
    <font>
      <name val="Times New Roman"/>
      <color rgb="FF0000FF"/>
      <sz val="10"/>
    </font>
    <font>
      <name val="Times New Roman"/>
      <b val="1"/>
      <color rgb="FF0B2545"/>
      <sz val="10"/>
    </font>
    <font>
      <name val="Times New Roman"/>
      <sz val="10"/>
    </font>
    <font>
      <name val="Times New Roman"/>
      <color rgb="FF000000"/>
      <sz val="10"/>
    </font>
    <font>
      <name val="Times New Roman"/>
      <b val="1"/>
      <color rgb="FFCC0000"/>
      <sz val="10"/>
    </font>
    <font>
      <name val="Times New Roman"/>
      <b val="1"/>
      <color rgb="FF0000FF"/>
      <sz val="10"/>
    </font>
    <font>
      <name val="Times New Roman"/>
      <i val="1"/>
      <sz val="10"/>
    </font>
    <font>
      <name val="_ * #,##0.00_ ;_ * (#,##0.00);_ * &quot;-&quot;??_ ;_ @_ "/>
    </font>
    <font>
      <name val="0.00%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7F5EE"/>
      </patternFill>
    </fill>
    <fill>
      <patternFill patternType="solid">
        <fgColor rgb="00FFFFCC"/>
      </patternFill>
    </fill>
    <fill>
      <patternFill patternType="solid">
        <fgColor rgb="FFD9E1F2"/>
      </patternFill>
    </fill>
    <fill>
      <patternFill patternType="solid">
        <fgColor rgb="FFFDEE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2" fillId="3" borderId="0" pivotButton="0" quotePrefix="0" xfId="0"/>
    <xf numFmtId="164" fontId="4" fillId="4" borderId="0" pivotButton="0" quotePrefix="0" xfId="0"/>
    <xf numFmtId="10" fontId="2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0" fontId="7" fillId="0" borderId="1" pivotButton="0" quotePrefix="0" xfId="0"/>
    <xf numFmtId="0" fontId="2" fillId="6" borderId="0" pivotButton="0" quotePrefix="0" xfId="0"/>
    <xf numFmtId="0" fontId="8" fillId="0" borderId="0" pivotButton="0" quotePrefix="0" xfId="0"/>
    <xf numFmtId="1" fontId="4" fillId="0" borderId="1" pivotButton="0" quotePrefix="0" xfId="0"/>
    <xf numFmtId="0" fontId="3" fillId="0" borderId="1" pivotButton="0" quotePrefix="0" xfId="0"/>
    <xf numFmtId="10" fontId="4" fillId="0" borderId="1" pivotButton="0" quotePrefix="0" xfId="0"/>
    <xf numFmtId="0" fontId="9" fillId="0" borderId="1" pivotButton="0" quotePrefix="0" xfId="0"/>
    <xf numFmtId="10" fontId="9" fillId="4" borderId="1" pivotButton="0" quotePrefix="0" xfId="0"/>
    <xf numFmtId="2" fontId="9" fillId="4" borderId="1" pivotButton="0" quotePrefix="0" xfId="0"/>
    <xf numFmtId="165" fontId="4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0" fillId="0" borderId="1" pivotButton="0" quotePrefix="0" xfId="0"/>
    <xf numFmtId="2" fontId="10" fillId="0" borderId="1" pivotButton="0" quotePrefix="0" xfId="0"/>
    <xf numFmtId="0" fontId="11" fillId="0" borderId="1" pivotButton="0" quotePrefix="0" xfId="0"/>
    <xf numFmtId="164" fontId="11" fillId="0" borderId="1" pivotButton="0" quotePrefix="0" xfId="0"/>
    <xf numFmtId="0" fontId="12" fillId="0" borderId="1" pivotButton="0" quotePrefix="0" xfId="0"/>
    <xf numFmtId="10" fontId="12" fillId="0" borderId="1" pivotButton="0" quotePrefix="0" xfId="0"/>
    <xf numFmtId="2" fontId="7" fillId="0" borderId="1" pivotButton="0" quotePrefix="0" xfId="0"/>
    <xf numFmtId="0" fontId="6" fillId="0" borderId="0" pivotButton="0" quotePrefix="0" xfId="0"/>
    <xf numFmtId="165" fontId="4" fillId="4" borderId="1" pivotButton="0" quotePrefix="0" xfId="0"/>
    <xf numFmtId="164" fontId="2" fillId="3" borderId="1" pivotButton="0" quotePrefix="0" xfId="0"/>
    <xf numFmtId="164" fontId="4" fillId="4" borderId="1" pivotButton="0" quotePrefix="0" xfId="0"/>
    <xf numFmtId="10" fontId="2" fillId="0" borderId="1" pivotButton="0" quotePrefix="0" xfId="0"/>
    <xf numFmtId="10" fontId="5" fillId="5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22" customWidth="1" min="3" max="3"/>
    <col width="18" customWidth="1" min="4" max="4"/>
    <col width="16" customWidth="1" min="5" max="5"/>
    <col width="46" customWidth="1" min="6" max="6"/>
  </cols>
  <sheetData>
    <row r="2">
      <c r="B2" s="1" t="inlineStr">
        <is>
          <t>FinScope 估值底稿</t>
        </is>
      </c>
    </row>
    <row r="3">
      <c r="B3" s="2" t="inlineStr">
        <is>
          <t>Apple Inc.（AAPL）</t>
        </is>
      </c>
    </row>
    <row r="4">
      <c r="B4" s="3" t="inlineStr">
        <is>
          <t>估值基准期 2025-09-30 · 价格日期 2026-10-10 · 币种 USD</t>
        </is>
      </c>
    </row>
    <row r="6">
      <c r="B6" s="4" t="inlineStr">
        <is>
          <t>一、估值结论</t>
        </is>
      </c>
    </row>
    <row r="7">
      <c r="B7" s="2" t="inlineStr">
        <is>
          <t>融合每股价值</t>
        </is>
      </c>
      <c r="C7" s="5" t="n">
        <v>117.2967441026881</v>
      </c>
    </row>
    <row r="8">
      <c r="B8" t="inlineStr">
        <is>
          <t>当前市价</t>
        </is>
      </c>
      <c r="C8" s="6" t="n">
        <v>245</v>
      </c>
    </row>
    <row r="9">
      <c r="B9" t="inlineStr">
        <is>
          <t>估值判断</t>
        </is>
      </c>
      <c r="C9" s="2" t="inlineStr">
        <is>
          <t>显著高估</t>
        </is>
      </c>
    </row>
    <row r="10">
      <c r="B10" t="inlineStr">
        <is>
          <t>上行/下行空间</t>
        </is>
      </c>
      <c r="C10" s="7" t="n">
        <v>-0.5212377791727016</v>
      </c>
    </row>
    <row r="12">
      <c r="B12" s="4" t="inlineStr">
        <is>
          <t>二、各方法结果与权重</t>
        </is>
      </c>
    </row>
    <row r="13">
      <c r="B13" s="8" t="inlineStr">
        <is>
          <t>方法</t>
        </is>
      </c>
      <c r="C13" s="8" t="inlineStr">
        <is>
          <t>每股价值</t>
        </is>
      </c>
      <c r="D13" s="8" t="inlineStr">
        <is>
          <t>权重</t>
        </is>
      </c>
      <c r="E13" s="8" t="inlineStr">
        <is>
          <t>股权价值</t>
        </is>
      </c>
      <c r="F13" s="8" t="inlineStr">
        <is>
          <t>说明</t>
        </is>
      </c>
    </row>
    <row r="14">
      <c r="B14" s="9" t="inlineStr">
        <is>
          <t>DCF（收益法）</t>
        </is>
      </c>
      <c r="C14" s="10" t="n">
        <v>99.73442780269161</v>
      </c>
      <c r="D14" s="11" t="n">
        <v>0.5</v>
      </c>
      <c r="E14" s="10" t="n">
        <v>1486042974260.105</v>
      </c>
    </row>
    <row r="15">
      <c r="B15" s="9" t="inlineStr">
        <is>
          <t>相对估值（市场法）</t>
        </is>
      </c>
      <c r="C15" s="10" t="n">
        <v>134.8590604026845</v>
      </c>
      <c r="D15" s="11" t="n">
        <v>0.5</v>
      </c>
      <c r="E15" s="10" t="n">
        <v>2009400000000</v>
      </c>
    </row>
    <row r="16">
      <c r="B16" s="3" t="inlineStr">
        <is>
          <t>默认权重：DCF 50% / 相对估值 50%</t>
        </is>
      </c>
    </row>
    <row r="18">
      <c r="B18" s="4" t="inlineStr">
        <is>
          <t>三、三情景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  <c r="F19" s="8" t="inlineStr">
        <is>
          <t>WACC</t>
        </is>
      </c>
    </row>
    <row r="20">
      <c r="B20" s="9" t="inlineStr">
        <is>
          <t>乐观</t>
        </is>
      </c>
      <c r="C20" s="10" t="n">
        <v>123.4104392942585</v>
      </c>
      <c r="D20" s="12" t="n">
        <v>0.05765909410173028</v>
      </c>
      <c r="E20" s="12" t="n">
        <v>0.3351022287007557</v>
      </c>
      <c r="F20" s="12" t="n">
        <v>0.09441559597554744</v>
      </c>
    </row>
    <row r="21">
      <c r="B21" s="9" t="inlineStr">
        <is>
          <t>基准</t>
        </is>
      </c>
      <c r="C21" s="10" t="n">
        <v>99.73442780269161</v>
      </c>
      <c r="D21" s="12" t="n">
        <v>0.02765909410173029</v>
      </c>
      <c r="E21" s="12" t="n">
        <v>0.3151022287007557</v>
      </c>
      <c r="F21" s="12" t="n">
        <v>0.1044155959755474</v>
      </c>
    </row>
    <row r="22">
      <c r="B22" s="9" t="inlineStr">
        <is>
          <t>悲观</t>
        </is>
      </c>
      <c r="C22" s="10" t="n">
        <v>80.85228579796352</v>
      </c>
      <c r="D22" s="12" t="n">
        <v>-0.002340905898269713</v>
      </c>
      <c r="E22" s="12" t="n">
        <v>0.2951022287007556</v>
      </c>
      <c r="F22" s="12" t="n">
        <v>0.1144155959755474</v>
      </c>
    </row>
    <row r="25">
      <c r="B25" s="13" t="inlineStr">
        <is>
          <t>四、模型提示（交付前请逐条复核）</t>
        </is>
      </c>
    </row>
    <row r="26" ht="28" customHeight="1">
      <c r="B26" s="14" t="inlineStr">
        <is>
          <t>⚠ 终值两种算法偏离 51%（Gordon 13,930 亿 vs 退出倍数 23,360 亿），已取中点。建议回头核对假设。</t>
        </is>
      </c>
    </row>
    <row r="27" ht="28" customHeight="1">
      <c r="B27" s="14" t="inlineStr">
        <is>
          <t>⚠ 算出的 WACC（10.44%）高于市场隐含折现率（4.44%）600bp。折现率偏高会让 DCF 结果系统性低于市价，请核对是否过度保守。</t>
        </is>
      </c>
    </row>
    <row r="28" ht="28" customHeight="1">
      <c r="B28" s="14" t="inlineStr">
        <is>
          <t>⚠ 没有提供分部数据，跳过 SOTP。</t>
        </is>
      </c>
    </row>
    <row r="31">
      <c r="B31" s="4" t="inlineStr">
        <is>
          <t>五、口径与免责</t>
        </is>
      </c>
    </row>
    <row r="32">
      <c r="B32" s="3" t="inlineStr">
        <is>
          <t>· 金额单位为报表原始货币的「元」，请勿与「亿元」混用；百分比一律为小数格式。</t>
        </is>
      </c>
    </row>
    <row r="33">
      <c r="B33" s="3" t="inlineStr">
        <is>
          <t>· 蓝字为手输或假设，蓝字黄底为关键驱动；黑字为公式链接，改动上游会自动联动。</t>
        </is>
      </c>
    </row>
    <row r="34">
      <c r="B34" s="3" t="inlineStr">
        <is>
          <t>· 本底稿由模型按既定假设计算，仅供研究与教学用途，不构成投资建议。</t>
        </is>
      </c>
    </row>
    <row r="35">
      <c r="B35" s="3" t="inlineStr">
        <is>
          <t>本结果由模型按既定假设计算，仅供研究与教学用途，不构成投资建议。</t>
        </is>
      </c>
    </row>
  </sheetData>
  <mergeCells count="3">
    <mergeCell ref="B26:F26"/>
    <mergeCell ref="B27:F27"/>
    <mergeCell ref="B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44" customWidth="1" min="4" max="4"/>
  </cols>
  <sheetData>
    <row r="2">
      <c r="B2" s="1" t="inlineStr">
        <is>
          <t>参数假设</t>
        </is>
      </c>
    </row>
    <row r="3">
      <c r="B3" s="3" t="inlineStr">
        <is>
          <t>蓝字为手输假设，蓝字黄底为关键驱动。</t>
        </is>
      </c>
    </row>
    <row r="5">
      <c r="B5" s="8" t="inlineStr">
        <is>
          <t>参数</t>
        </is>
      </c>
      <c r="C5" s="8" t="inlineStr">
        <is>
          <t>取值</t>
        </is>
      </c>
      <c r="D5" s="8" t="inlineStr">
        <is>
          <t>来源 / 口径</t>
        </is>
      </c>
    </row>
    <row r="6">
      <c r="B6" s="9" t="inlineStr">
        <is>
          <t>预测期年数</t>
        </is>
      </c>
      <c r="C6" s="15" t="n">
        <v>5</v>
      </c>
      <c r="D6" s="16" t="inlineStr">
        <is>
          <t>模型设定，允许 3–10 年</t>
        </is>
      </c>
    </row>
    <row r="7">
      <c r="B7" s="9" t="inlineStr">
        <is>
          <t>首年收入增速</t>
        </is>
      </c>
      <c r="C7" s="17" t="n">
        <v>0.02765909410173029</v>
      </c>
      <c r="D7" s="16" t="inlineStr">
        <is>
          <t>历史 CAGR</t>
        </is>
      </c>
    </row>
    <row r="8">
      <c r="B8" s="18" t="inlineStr">
        <is>
          <t>永续增长率 g</t>
        </is>
      </c>
      <c r="C8" s="19" t="n">
        <v>0.025</v>
      </c>
      <c r="D8" s="16" t="inlineStr">
        <is>
          <t>上限 3.0%（按市场长期名义 GDP 推得）</t>
        </is>
      </c>
    </row>
    <row r="9">
      <c r="B9" s="18" t="inlineStr">
        <is>
          <t>EBIT 利润率</t>
        </is>
      </c>
      <c r="C9" s="19" t="n">
        <v>0.3151022287007557</v>
      </c>
      <c r="D9" s="16" t="inlineStr">
        <is>
          <t>近三年中位数</t>
        </is>
      </c>
    </row>
    <row r="10">
      <c r="B10" s="9" t="inlineStr">
        <is>
          <t>折旧摊销 / 收入</t>
        </is>
      </c>
      <c r="C10" s="17" t="n">
        <v>0.02926847980359814</v>
      </c>
      <c r="D10" s="16" t="inlineStr">
        <is>
          <t>近三年中位数</t>
        </is>
      </c>
    </row>
    <row r="11">
      <c r="B11" s="9" t="inlineStr">
        <is>
          <t>资本开支 / 收入</t>
        </is>
      </c>
      <c r="C11" s="17" t="n">
        <v>0.02475490196078431</v>
      </c>
      <c r="D11" s="16" t="inlineStr">
        <is>
          <t>近三年中位数</t>
        </is>
      </c>
    </row>
    <row r="12">
      <c r="B12" s="9" t="inlineStr">
        <is>
          <t>营运资本变动 / 收入</t>
        </is>
      </c>
      <c r="C12" s="17" t="n">
        <v>0.01189919060953623</v>
      </c>
      <c r="D12" s="16" t="inlineStr">
        <is>
          <t>近三年中位数</t>
        </is>
      </c>
    </row>
    <row r="14">
      <c r="B14" s="9" t="inlineStr">
        <is>
          <t>无风险利率 rf</t>
        </is>
      </c>
      <c r="C14" s="17" t="n">
        <v>0.0428</v>
      </c>
      <c r="D14" s="16" t="inlineStr">
        <is>
          <t>基准日 10 年期国债收益率</t>
        </is>
      </c>
    </row>
    <row r="15">
      <c r="B15" s="9" t="inlineStr">
        <is>
          <t>股权风险溢价 ERP</t>
        </is>
      </c>
      <c r="C15" s="17" t="n">
        <v>0.0514</v>
      </c>
      <c r="D15" s="16" t="inlineStr">
        <is>
          <t>Damodaran 国家风险溢价</t>
        </is>
      </c>
    </row>
    <row r="16">
      <c r="B16" s="18" t="inlineStr">
        <is>
          <t>Beta</t>
        </is>
      </c>
      <c r="C16" s="20" t="n">
        <v>1.24</v>
      </c>
      <c r="D16" s="16" t="inlineStr">
        <is>
          <t>数据源 Beta</t>
        </is>
      </c>
    </row>
    <row r="17">
      <c r="B17" s="9" t="inlineStr">
        <is>
          <t>规模溢价</t>
        </is>
      </c>
      <c r="C17" s="17" t="n">
        <v>0</v>
      </c>
      <c r="D17" s="16" t="inlineStr">
        <is>
          <t>小市值补充回报</t>
        </is>
      </c>
    </row>
    <row r="18">
      <c r="B18" s="9" t="inlineStr">
        <is>
          <t>股权成本 Ke</t>
        </is>
      </c>
      <c r="C18" s="17" t="n">
        <v>0.106536</v>
      </c>
      <c r="D18" s="16">
        <f> rf + β×ERP + 规模溢价</f>
        <v/>
      </c>
    </row>
    <row r="19">
      <c r="B19" s="9" t="inlineStr">
        <is>
          <t>税前债务成本 Kd</t>
        </is>
      </c>
      <c r="C19" s="17" t="n">
        <v>0.03205327046756416</v>
      </c>
      <c r="D19" s="16" t="inlineStr">
        <is>
          <t>利息费用 ÷ 有息负债</t>
        </is>
      </c>
    </row>
    <row r="20">
      <c r="B20" s="9" t="inlineStr">
        <is>
          <t>所得税率</t>
        </is>
      </c>
      <c r="C20" s="17" t="n">
        <v>0.2393822393822394</v>
      </c>
      <c r="D20" s="16" t="inlineStr">
        <is>
          <t>近三年有效税率中位数（夹在 15%–30%）</t>
        </is>
      </c>
    </row>
    <row r="21">
      <c r="B21" s="9" t="inlineStr">
        <is>
          <t>股权占比 E/V</t>
        </is>
      </c>
      <c r="C21" s="21" t="n">
        <v>0.9741904252065668</v>
      </c>
      <c r="D21" s="16" t="inlineStr">
        <is>
          <t>当前市值口径（E=市值，D=报表有息负债）</t>
        </is>
      </c>
    </row>
    <row r="22">
      <c r="B22" s="9" t="inlineStr">
        <is>
          <t>债务占比 D/V</t>
        </is>
      </c>
      <c r="C22" s="21" t="n">
        <v>0.02580957479343315</v>
      </c>
      <c r="D22" s="16" t="inlineStr"/>
    </row>
    <row r="23">
      <c r="B23" s="18" t="inlineStr">
        <is>
          <t>WACC</t>
        </is>
      </c>
      <c r="C23" s="19" t="n">
        <v>0.1044155959755474</v>
      </c>
      <c r="D23" s="16">
        <f> E/V×Ke + D/V×Kd×(1−税率)</f>
        <v/>
      </c>
    </row>
    <row r="25">
      <c r="B25" s="4" t="inlineStr">
        <is>
          <t>隐含资本成本反查</t>
        </is>
      </c>
    </row>
    <row r="26" ht="40" customHeight="1">
      <c r="B26" s="3" t="inlineStr">
        <is>
          <t>由当前 PE（37.1 倍）反推：盈利收益率 2.70% + 永续增速 2.50% = 隐含资本成本 5.20%；与算出的 WACC（10.44%）相差 524bp，**超过 300bp，请核对 beta / ERP / 增速中哪一个偏了**</t>
        </is>
      </c>
    </row>
  </sheetData>
  <mergeCells count="1"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DCF 测算（FCFF 口径）</t>
        </is>
      </c>
    </row>
    <row r="3">
      <c r="B3" s="3" t="inlineStr">
        <is>
          <t>折现率取「参数假设」页的 WACC；终值取 Gordon 与退出倍数法的中点。</t>
        </is>
      </c>
    </row>
    <row r="5">
      <c r="B5" s="8" t="inlineStr">
        <is>
          <t>项目</t>
        </is>
      </c>
      <c r="C5" s="8" t="inlineStr">
        <is>
          <t>第 1 年</t>
        </is>
      </c>
      <c r="D5" s="8" t="inlineStr">
        <is>
          <t>第 2 年</t>
        </is>
      </c>
      <c r="E5" s="8" t="inlineStr">
        <is>
          <t>第 3 年</t>
        </is>
      </c>
      <c r="F5" s="8" t="inlineStr">
        <is>
          <t>第 4 年</t>
        </is>
      </c>
      <c r="G5" s="8" t="inlineStr">
        <is>
          <t>第 5 年</t>
        </is>
      </c>
    </row>
    <row r="6">
      <c r="B6" s="22" t="inlineStr">
        <is>
          <t>收入增速</t>
        </is>
      </c>
      <c r="D6" s="12" t="n">
        <v>0.02765909410173029</v>
      </c>
      <c r="E6" s="12" t="n">
        <v>0.02699432057629771</v>
      </c>
      <c r="F6" s="12" t="n">
        <v>0.02632954705086514</v>
      </c>
      <c r="G6" s="12" t="n">
        <v>0.02566477352543257</v>
      </c>
      <c r="H6" s="12" t="n">
        <v>0.025</v>
      </c>
    </row>
    <row r="7">
      <c r="B7" s="22" t="inlineStr">
        <is>
          <t>营业收入</t>
        </is>
      </c>
      <c r="D7" s="10" t="n">
        <v>419284910393.506</v>
      </c>
      <c r="E7" s="10" t="n">
        <v>430603221677.4725</v>
      </c>
      <c r="F7" s="10" t="n">
        <v>441940809462.8837</v>
      </c>
      <c r="G7" s="10" t="n">
        <v>453283120249.3949</v>
      </c>
      <c r="H7" s="10" t="n">
        <v>464615198255.6297</v>
      </c>
    </row>
    <row r="8">
      <c r="B8" s="22" t="inlineStr">
        <is>
          <t>EBIT</t>
        </is>
      </c>
      <c r="D8" s="10" t="n">
        <v>132117609725.5904</v>
      </c>
      <c r="E8" s="10" t="n">
        <v>135684034836.2971</v>
      </c>
      <c r="F8" s="10" t="n">
        <v>139256534015.5706</v>
      </c>
      <c r="G8" s="10" t="n">
        <v>142830521423.017</v>
      </c>
      <c r="H8" s="10" t="n">
        <v>146401284458.5924</v>
      </c>
    </row>
    <row r="9">
      <c r="B9" s="22" t="inlineStr">
        <is>
          <t>减：现金所得税</t>
        </is>
      </c>
      <c r="D9" s="10" t="n">
        <v>31626609277.94055</v>
      </c>
      <c r="E9" s="10" t="n">
        <v>32480348107.53059</v>
      </c>
      <c r="F9" s="10" t="n">
        <v>33335540961.25629</v>
      </c>
      <c r="G9" s="10" t="n">
        <v>34191090070.37472</v>
      </c>
      <c r="H9" s="10" t="n">
        <v>35045867322.13408</v>
      </c>
    </row>
    <row r="10">
      <c r="B10" s="23" t="inlineStr">
        <is>
          <t>NOPAT</t>
        </is>
      </c>
      <c r="D10" s="24" t="n">
        <v>100491000447.6498</v>
      </c>
      <c r="E10" s="24" t="n">
        <v>103203686728.7666</v>
      </c>
      <c r="F10" s="24" t="n">
        <v>105920993054.3144</v>
      </c>
      <c r="G10" s="24" t="n">
        <v>108639431352.6423</v>
      </c>
      <c r="H10" s="24" t="n">
        <v>111355417136.4583</v>
      </c>
    </row>
    <row r="11">
      <c r="B11" s="22" t="inlineStr">
        <is>
          <t>加：折旧摊销</t>
        </is>
      </c>
      <c r="D11" s="10" t="n">
        <v>12271831931.80579</v>
      </c>
      <c r="E11" s="10" t="n">
        <v>12603101697.0314</v>
      </c>
      <c r="F11" s="10" t="n">
        <v>12934935656.15023</v>
      </c>
      <c r="G11" s="10" t="n">
        <v>13266907850.33136</v>
      </c>
      <c r="H11" s="10" t="n">
        <v>13598580546.58965</v>
      </c>
    </row>
    <row r="12">
      <c r="B12" s="22" t="inlineStr">
        <is>
          <t>减：资本开支</t>
        </is>
      </c>
      <c r="D12" s="10" t="n">
        <v>10379356850.42748</v>
      </c>
      <c r="E12" s="10" t="n">
        <v>10659540536.62371</v>
      </c>
      <c r="F12" s="10" t="n">
        <v>10940201410.72334</v>
      </c>
      <c r="G12" s="10" t="n">
        <v>11220979202.25218</v>
      </c>
      <c r="H12" s="10" t="n">
        <v>11501503682.30848</v>
      </c>
    </row>
    <row r="13">
      <c r="B13" s="22" t="inlineStr">
        <is>
          <t>减：营运资本增加</t>
        </is>
      </c>
      <c r="D13" s="10" t="n">
        <v>4989151068.474647</v>
      </c>
      <c r="E13" s="10" t="n">
        <v>5123829811.820629</v>
      </c>
      <c r="F13" s="10" t="n">
        <v>5258737929.931586</v>
      </c>
      <c r="G13" s="10" t="n">
        <v>5393702247.932882</v>
      </c>
      <c r="H13" s="10" t="n">
        <v>5528544804.131203</v>
      </c>
    </row>
    <row r="14">
      <c r="B14" s="22" t="inlineStr">
        <is>
          <t>减：股份支付（如计入现金）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</row>
    <row r="15">
      <c r="B15" s="23" t="inlineStr">
        <is>
          <t>自由现金流 FCFF</t>
        </is>
      </c>
      <c r="D15" s="24" t="n">
        <v>97394324460.55348</v>
      </c>
      <c r="E15" s="24" t="n">
        <v>100023418077.3536</v>
      </c>
      <c r="F15" s="24" t="n">
        <v>102656989369.8097</v>
      </c>
      <c r="G15" s="24" t="n">
        <v>105291657752.7886</v>
      </c>
      <c r="H15" s="24" t="n">
        <v>107923949196.6083</v>
      </c>
    </row>
    <row r="16">
      <c r="B16" s="25" t="inlineStr">
        <is>
          <t>折现系数</t>
        </is>
      </c>
      <c r="D16" s="26" t="n">
        <v>0.9054562464021385</v>
      </c>
      <c r="E16" s="26" t="n">
        <v>0.8198510141486502</v>
      </c>
      <c r="F16" s="26" t="n">
        <v>0.7423392218800233</v>
      </c>
      <c r="G16" s="26" t="n">
        <v>0.6721556854005701</v>
      </c>
      <c r="H16" s="26" t="n">
        <v>0.608607563900657</v>
      </c>
    </row>
    <row r="17">
      <c r="B17" s="22" t="inlineStr">
        <is>
          <t>现金流现值</t>
        </is>
      </c>
      <c r="D17" s="10" t="n">
        <v>88186299446.92474</v>
      </c>
      <c r="E17" s="10" t="n">
        <v>82004300749.33281</v>
      </c>
      <c r="F17" s="10" t="n">
        <v>76206309609.33034</v>
      </c>
      <c r="G17" s="10" t="n">
        <v>70772386383.78784</v>
      </c>
      <c r="H17" s="10" t="n">
        <v>65683331807.08603</v>
      </c>
    </row>
    <row r="19">
      <c r="B19" s="27" t="inlineStr">
        <is>
          <t>详细预测期现值合计</t>
        </is>
      </c>
      <c r="C19" s="28" t="n">
        <v>382852627996.4618</v>
      </c>
    </row>
    <row r="20">
      <c r="B20" s="27" t="inlineStr">
        <is>
          <t>终值 · Gordon 永续法</t>
        </is>
      </c>
      <c r="C20" s="28" t="n">
        <v>1392951177506.553</v>
      </c>
    </row>
    <row r="21">
      <c r="B21" s="27" t="inlineStr">
        <is>
          <t>终值 · 退出倍数法</t>
        </is>
      </c>
      <c r="C21" s="28" t="n">
        <v>2335998029075.657</v>
      </c>
      <c r="E21" s="3" t="inlineStr">
        <is>
          <t>退出倍数取值 14.60x（同业中位 EV/EBITDA）</t>
        </is>
      </c>
    </row>
    <row r="22">
      <c r="B22" s="23" t="inlineStr">
        <is>
          <t>终值取中点</t>
        </is>
      </c>
      <c r="C22" s="24" t="n">
        <v>1864474603291.105</v>
      </c>
    </row>
    <row r="23">
      <c r="B23" s="27" t="inlineStr">
        <is>
          <t>终值现值</t>
        </is>
      </c>
      <c r="C23" s="28" t="n">
        <v>1134733346263.643</v>
      </c>
    </row>
    <row r="24">
      <c r="B24" s="23" t="inlineStr">
        <is>
          <t>企业价值 EV</t>
        </is>
      </c>
      <c r="C24" s="24" t="n">
        <v>1517585974260.105</v>
      </c>
    </row>
    <row r="25">
      <c r="B25" s="27" t="inlineStr">
        <is>
          <t>加：货币资金</t>
        </is>
      </c>
      <c r="C25" s="28" t="n">
        <v>65171000000</v>
      </c>
    </row>
    <row r="26">
      <c r="B26" s="27" t="inlineStr">
        <is>
          <t>减：有息负债</t>
        </is>
      </c>
      <c r="C26" s="28" t="n">
        <v>96714000000</v>
      </c>
    </row>
    <row r="27">
      <c r="B27" s="27" t="inlineStr">
        <is>
          <t>减：少数股东权益</t>
        </is>
      </c>
      <c r="C27" s="28" t="n">
        <v>0</v>
      </c>
    </row>
    <row r="28">
      <c r="B28" s="27" t="inlineStr">
        <is>
          <t>减：优先股</t>
        </is>
      </c>
      <c r="C28" s="28" t="n">
        <v>0</v>
      </c>
    </row>
    <row r="29">
      <c r="B29" s="23" t="inlineStr">
        <is>
          <t>股权价值</t>
        </is>
      </c>
      <c r="C29" s="24" t="n">
        <v>1486042974260.105</v>
      </c>
    </row>
    <row r="30">
      <c r="B30" s="23" t="inlineStr">
        <is>
          <t>每股价值</t>
        </is>
      </c>
      <c r="C30" s="24" t="n">
        <v>99.73442780269161</v>
      </c>
    </row>
    <row r="31">
      <c r="B31" s="29" t="inlineStr">
        <is>
          <t>终值占企业价值比例</t>
        </is>
      </c>
      <c r="C31" s="30" t="n">
        <v>0.7477226104549889</v>
      </c>
    </row>
    <row r="32">
      <c r="B32" s="29" t="inlineStr">
        <is>
          <t>终值两法偏离度</t>
        </is>
      </c>
      <c r="C32" s="30" t="n">
        <v>0.5057976385972066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相对估值（可比公司法）</t>
        </is>
      </c>
    </row>
    <row r="3">
      <c r="B3" s="3" t="inlineStr">
        <is>
          <t>每个选用倍数取同业中位数，再按目标与同业的差异做调整。</t>
        </is>
      </c>
    </row>
    <row r="5">
      <c r="B5" s="8" t="inlineStr">
        <is>
          <t>选用倍数</t>
        </is>
      </c>
      <c r="C5" s="8" t="inlineStr">
        <is>
          <t>同业中位数</t>
        </is>
      </c>
      <c r="D5" s="8" t="inlineStr">
        <is>
          <t>调整幅度</t>
        </is>
      </c>
      <c r="E5" s="8" t="inlineStr">
        <is>
          <t>采用倍数</t>
        </is>
      </c>
      <c r="F5" s="8" t="inlineStr">
        <is>
          <t>对应指标</t>
        </is>
      </c>
      <c r="G5" s="8" t="inlineStr">
        <is>
          <t>指标值</t>
        </is>
      </c>
      <c r="H5" s="8" t="inlineStr">
        <is>
          <t>隐含股权价值</t>
        </is>
      </c>
    </row>
    <row r="6">
      <c r="B6" s="9" t="inlineStr">
        <is>
          <t>预期市盈率</t>
        </is>
      </c>
      <c r="C6" s="31" t="n">
        <v>20.4</v>
      </c>
      <c r="D6" s="21" t="n">
        <v>0</v>
      </c>
      <c r="E6" s="31" t="n">
        <v>20.4</v>
      </c>
      <c r="F6" s="9" t="inlineStr">
        <is>
          <t>净利润</t>
        </is>
      </c>
      <c r="G6" s="10" t="n">
        <v>408000000000</v>
      </c>
    </row>
    <row r="7">
      <c r="B7" s="9" t="inlineStr">
        <is>
          <t>市净率 PB</t>
        </is>
      </c>
      <c r="C7" s="31" t="n">
        <v>6.8</v>
      </c>
      <c r="D7" s="21" t="n">
        <v>0</v>
      </c>
      <c r="E7" s="31" t="n">
        <v>6.8</v>
      </c>
      <c r="F7" s="9" t="inlineStr">
        <is>
          <t>净资产</t>
        </is>
      </c>
      <c r="G7" s="10" t="n">
        <v>56950000000</v>
      </c>
    </row>
    <row r="8">
      <c r="B8" s="9" t="inlineStr">
        <is>
          <t>EV/EBITDA</t>
        </is>
      </c>
      <c r="C8" s="31" t="n">
        <v>14.6</v>
      </c>
      <c r="D8" s="21" t="n">
        <v>0</v>
      </c>
      <c r="E8" s="31" t="n">
        <v>14.6</v>
      </c>
      <c r="F8" s="9" t="inlineStr">
        <is>
          <t>EBITDA</t>
        </is>
      </c>
      <c r="G8" s="10" t="n">
        <v>140800000000</v>
      </c>
    </row>
    <row r="9">
      <c r="B9" s="2" t="inlineStr">
        <is>
          <t>各倍数隐含股权价值（中位）</t>
        </is>
      </c>
      <c r="C9" s="24" t="n">
        <v>2009400000000</v>
      </c>
    </row>
    <row r="10">
      <c r="B10" s="2" t="inlineStr">
        <is>
          <t>隐含每股价值</t>
        </is>
      </c>
      <c r="C10" s="24" t="n">
        <v>134.8590604026845</v>
      </c>
    </row>
    <row r="11">
      <c r="B11" s="32" t="inlineStr">
        <is>
          <t>隐含股权价值区间</t>
        </is>
      </c>
      <c r="C11" s="10" t="n">
        <v>387260000000</v>
      </c>
      <c r="D11" s="10" t="n">
        <v>2024137000000</v>
      </c>
    </row>
    <row r="13">
      <c r="B13" s="4" t="inlineStr">
        <is>
          <t>可比公司数据</t>
        </is>
      </c>
    </row>
    <row r="15">
      <c r="B15" s="2" t="inlineStr">
        <is>
          <t>口径说明</t>
        </is>
      </c>
    </row>
    <row r="16">
      <c r="B16" s="3" t="inlineStr">
        <is>
          <t>· 同业中位数而非均值：中位数对极端值更稳健。</t>
        </is>
      </c>
    </row>
    <row r="17">
      <c r="B17" s="3" t="inlineStr">
        <is>
          <t>· 调整幅度体现目标与同业在增速、利润率、杠杆上的差异，须在交付时说明理由。</t>
        </is>
      </c>
    </row>
    <row r="18">
      <c r="B18" s="3" t="inlineStr">
        <is>
          <t>· EV 类倍数算出企业价值后需扣减净负债，才是股权价值。</t>
        </is>
      </c>
    </row>
  </sheetData>
  <mergeCells count="3">
    <mergeCell ref="B16:G16"/>
    <mergeCell ref="B18:G18"/>
    <mergeCell ref="B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8" customWidth="1" min="5" max="5"/>
  </cols>
  <sheetData>
    <row r="2">
      <c r="B2" s="1" t="inlineStr">
        <is>
          <t>三法融合</t>
        </is>
      </c>
    </row>
    <row r="3">
      <c r="B3" s="3" t="inlineStr">
        <is>
          <t>默认权重：DCF 50% / 相对估值 50%</t>
        </is>
      </c>
    </row>
    <row r="5">
      <c r="B5" s="8" t="inlineStr">
        <is>
          <t>方法</t>
        </is>
      </c>
      <c r="C5" s="8" t="inlineStr">
        <is>
          <t>每股价值</t>
        </is>
      </c>
      <c r="D5" s="8" t="inlineStr">
        <is>
          <t>权重</t>
        </is>
      </c>
      <c r="E5" s="8" t="inlineStr">
        <is>
          <t>股权价值</t>
        </is>
      </c>
    </row>
    <row r="6">
      <c r="B6" s="9" t="inlineStr">
        <is>
          <t>DCF（收益法）</t>
        </is>
      </c>
      <c r="C6" s="10" t="n">
        <v>99.73442780269161</v>
      </c>
      <c r="D6" s="33" t="n">
        <v>0.5</v>
      </c>
      <c r="E6" s="10" t="n">
        <v>1486042974260.105</v>
      </c>
    </row>
    <row r="7">
      <c r="B7" s="9" t="inlineStr">
        <is>
          <t>相对估值（市场法）</t>
        </is>
      </c>
      <c r="C7" s="10" t="n">
        <v>134.8590604026845</v>
      </c>
      <c r="D7" s="33" t="n">
        <v>0.5</v>
      </c>
      <c r="E7" s="10" t="n">
        <v>2009400000000</v>
      </c>
    </row>
    <row r="9">
      <c r="B9" s="2" t="inlineStr">
        <is>
          <t>融合每股价值</t>
        </is>
      </c>
      <c r="C9" s="34" t="n">
        <v>117.2967441026881</v>
      </c>
    </row>
    <row r="10">
      <c r="B10" s="32" t="inlineStr">
        <is>
          <t>当前市价</t>
        </is>
      </c>
      <c r="C10" s="35" t="n">
        <v>245</v>
      </c>
    </row>
    <row r="11">
      <c r="B11" s="2" t="inlineStr">
        <is>
          <t>判断</t>
        </is>
      </c>
      <c r="C11" s="23" t="inlineStr">
        <is>
          <t>显著高估</t>
        </is>
      </c>
    </row>
    <row r="12">
      <c r="B12" s="2" t="inlineStr">
        <is>
          <t>上行空间</t>
        </is>
      </c>
      <c r="C12" s="36" t="n">
        <v>-0.5212377791727016</v>
      </c>
    </row>
    <row r="14">
      <c r="B14" s="3" t="inlineStr">
        <is>
          <t>各方法相对位置</t>
        </is>
      </c>
    </row>
    <row r="15">
      <c r="B15" s="3" t="inlineStr">
        <is>
          <t>最乐观：相对估值（市场法）</t>
        </is>
      </c>
    </row>
    <row r="16">
      <c r="B16" s="3" t="inlineStr">
        <is>
          <t>最保守：DCF（收益法）</t>
        </is>
      </c>
    </row>
    <row r="18">
      <c r="B18" s="4" t="inlineStr">
        <is>
          <t>三情景对照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</row>
    <row r="20">
      <c r="B20" s="9" t="inlineStr">
        <is>
          <t>乐观</t>
        </is>
      </c>
      <c r="C20" s="10" t="n">
        <v>123.4104392942585</v>
      </c>
      <c r="D20" s="12" t="n">
        <v>0.05765909410173028</v>
      </c>
      <c r="E20" s="12" t="n">
        <v>0.3351022287007557</v>
      </c>
    </row>
    <row r="21">
      <c r="B21" s="9" t="inlineStr">
        <is>
          <t>基准</t>
        </is>
      </c>
      <c r="C21" s="10" t="n">
        <v>99.73442780269161</v>
      </c>
      <c r="D21" s="12" t="n">
        <v>0.02765909410173029</v>
      </c>
      <c r="E21" s="12" t="n">
        <v>0.3151022287007557</v>
      </c>
    </row>
    <row r="22">
      <c r="B22" s="9" t="inlineStr">
        <is>
          <t>悲观</t>
        </is>
      </c>
      <c r="C22" s="10" t="n">
        <v>80.85228579796352</v>
      </c>
      <c r="D22" s="12" t="n">
        <v>-0.002340905898269713</v>
      </c>
      <c r="E22" s="12" t="n">
        <v>0.2951022287007556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敏感性分析：每股价值 = f(WACC, 永续增长率)</t>
        </is>
      </c>
    </row>
    <row r="3">
      <c r="B3" s="3" t="inlineStr">
        <is>
          <t>行 = WACC，列 = 永续增长率。默认 ±1.0% / ±0.5%</t>
        </is>
      </c>
    </row>
    <row r="5">
      <c r="B5" s="8" t="inlineStr">
        <is>
          <t>WACC \ g</t>
        </is>
      </c>
      <c r="C5" s="8" t="inlineStr">
        <is>
          <t>1.50%</t>
        </is>
      </c>
      <c r="D5" s="8" t="inlineStr">
        <is>
          <t>2.00%</t>
        </is>
      </c>
      <c r="E5" s="8" t="inlineStr">
        <is>
          <t>2.50%</t>
        </is>
      </c>
      <c r="F5" s="8" t="inlineStr">
        <is>
          <t>3.00%</t>
        </is>
      </c>
      <c r="G5" s="8" t="inlineStr">
        <is>
          <t>3.50%</t>
        </is>
      </c>
    </row>
    <row r="6">
      <c r="B6" s="37" t="n">
        <v>0.09441559597554745</v>
      </c>
      <c r="D6" s="10" t="n">
        <v>101.5108970857439</v>
      </c>
      <c r="E6" s="10" t="n">
        <v>104.6935345257801</v>
      </c>
      <c r="F6" s="10" t="n">
        <v>108.2445826735489</v>
      </c>
      <c r="G6" s="10" t="n">
        <v>112.2485781423912</v>
      </c>
      <c r="H6" s="10" t="n">
        <v>112.2485781423912</v>
      </c>
    </row>
    <row r="7">
      <c r="B7" s="37" t="n">
        <v>0.09941559597554744</v>
      </c>
      <c r="D7" s="10" t="n">
        <v>97.76123798752651</v>
      </c>
      <c r="E7" s="10" t="n">
        <v>100.6160372661948</v>
      </c>
      <c r="F7" s="10" t="n">
        <v>103.7726592038422</v>
      </c>
      <c r="G7" s="10" t="n">
        <v>107.2951903341002</v>
      </c>
      <c r="H7" s="10" t="n">
        <v>107.2951903341002</v>
      </c>
    </row>
    <row r="8">
      <c r="B8" s="37" t="n">
        <v>0.1044155959755474</v>
      </c>
      <c r="D8" s="38" t="n">
        <v>94.32232278972917</v>
      </c>
      <c r="E8" s="38" t="n">
        <v>96.90320174395366</v>
      </c>
      <c r="F8" s="38" t="n">
        <v>99.73442780269161</v>
      </c>
      <c r="G8" s="38" t="n">
        <v>102.8654310088665</v>
      </c>
      <c r="H8" s="38" t="n">
        <v>102.8654310088665</v>
      </c>
    </row>
    <row r="9">
      <c r="B9" s="37" t="n">
        <v>0.1094155959755475</v>
      </c>
      <c r="D9" s="10" t="n">
        <v>91.14901093200783</v>
      </c>
      <c r="E9" s="10" t="n">
        <v>93.49842883657888</v>
      </c>
      <c r="F9" s="10" t="n">
        <v>96.05778994256937</v>
      </c>
      <c r="G9" s="10" t="n">
        <v>98.86580388814737</v>
      </c>
      <c r="H9" s="10" t="n">
        <v>98.86580388814737</v>
      </c>
    </row>
    <row r="10">
      <c r="B10" s="37" t="n">
        <v>0.1144155959755474</v>
      </c>
      <c r="D10" s="10" t="n">
        <v>88.20507456972611</v>
      </c>
      <c r="E10" s="10" t="n">
        <v>90.35692734055894</v>
      </c>
      <c r="F10" s="10" t="n">
        <v>92.68657777617899</v>
      </c>
      <c r="G10" s="10" t="n">
        <v>95.22475190500381</v>
      </c>
      <c r="H10" s="10" t="n">
        <v>95.22475190500381</v>
      </c>
    </row>
    <row r="12">
      <c r="B12" s="3" t="inlineStr">
        <is>
          <t>每格都是独立重算的结果，不是 Excel 模拟运算表。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20" customWidth="1" min="5" max="5"/>
  </cols>
  <sheetData>
    <row r="2">
      <c r="B2" s="1" t="inlineStr">
        <is>
          <t>数据来源与口径</t>
        </is>
      </c>
    </row>
    <row r="4">
      <c r="B4" s="8" t="inlineStr">
        <is>
          <t>来源</t>
        </is>
      </c>
      <c r="C4" s="8" t="inlineStr">
        <is>
          <t>用途</t>
        </is>
      </c>
      <c r="D4" s="8" t="inlineStr">
        <is>
          <t>取数日</t>
        </is>
      </c>
      <c r="E4" s="8" t="inlineStr">
        <is>
          <t>性质</t>
        </is>
      </c>
    </row>
    <row r="5">
      <c r="B5" s="9" t="inlineStr">
        <is>
          <t>yfinance（Yahoo Finance）· 三大报表与行情</t>
        </is>
      </c>
      <c r="C5" s="9" t="inlineStr">
        <is>
          <t>财务报表与市场数据</t>
        </is>
      </c>
      <c r="D5" s="9" t="inlineStr">
        <is>
          <t>2026-10-10</t>
        </is>
      </c>
      <c r="E5" s="9" t="inlineStr">
        <is>
          <t>非官方源</t>
        </is>
      </c>
    </row>
    <row r="6">
      <c r="B6" s="9" t="inlineStr">
        <is>
          <t>Damodaran 美国隐含 ERP</t>
        </is>
      </c>
      <c r="C6" s="9" t="inlineStr">
        <is>
          <t>股权风险溢价</t>
        </is>
      </c>
      <c r="D6" s="9" t="inlineStr">
        <is>
          <t>2026-08-01</t>
        </is>
      </c>
      <c r="E6" s="9" t="inlineStr">
        <is>
          <t>官方源</t>
        </is>
      </c>
    </row>
    <row r="9" ht="32" customHeight="1">
      <c r="B9" s="3" t="inlineStr">
        <is>
          <t>as-of 规则：所有市场数据原则上取基准日或之前可获得的数据；确需使用基准日之后发布的数据时，须显式标注「后见信息」并请使用者确认。</t>
        </is>
      </c>
    </row>
  </sheetData>
  <mergeCells count="1">
    <mergeCell ref="B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2026-10-11T07:22:57Z</dcterms:created>
  <dcterms:modified xsi:type="dcterms:W3CDTF">2026-10-11T07:22:57Z</dcterms:modified>
</cp:coreProperties>
</file>