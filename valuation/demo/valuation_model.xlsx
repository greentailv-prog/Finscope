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参数假设" sheetId="2" state="visible" r:id="rId2"/>
    <sheet name="DCF测算" sheetId="3" state="visible" r:id="rId3"/>
    <sheet name="相对估值" sheetId="4" state="visible" r:id="rId4"/>
    <sheet name="分部估值" sheetId="5" state="visible" r:id="rId5"/>
    <sheet name="三法融合" sheetId="6" state="visible" r:id="rId6"/>
    <sheet name="敏感性分析" sheetId="7" state="visible" r:id="rId7"/>
    <sheet name="数据来源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 * #,##0.00_ ;_ * (#,##0.00);_ * &quot;-&quot;??_ ;_ @_ "/>
  </numFmts>
  <fonts count="11">
    <font>
      <name val="Calibri"/>
      <family val="2"/>
      <color theme="1"/>
      <sz val="11"/>
      <scheme val="minor"/>
    </font>
    <font>
      <name val="Times New Roman"/>
      <b val="1"/>
      <color rgb="FF0B2545"/>
      <sz val="14"/>
    </font>
    <font>
      <name val="Times New Roman"/>
      <color rgb="FF808080"/>
      <sz val="9"/>
    </font>
    <font>
      <name val="Times New Roman"/>
      <b val="1"/>
      <color rgb="FF0B2545"/>
      <sz val="10"/>
    </font>
    <font>
      <name val="Times New Roman"/>
      <b val="1"/>
      <color rgb="FF0000FF"/>
      <sz val="10"/>
    </font>
    <font>
      <name val="Times New Roman"/>
      <color rgb="FF0000FF"/>
      <sz val="10"/>
    </font>
    <font>
      <name val="Times New Roman"/>
      <b val="1"/>
      <sz val="10"/>
    </font>
    <font>
      <name val="Times New Roman"/>
      <color rgb="FF000000"/>
      <sz val="10"/>
    </font>
    <font>
      <name val="Times New Roman"/>
      <i val="1"/>
      <sz val="10"/>
    </font>
    <font>
      <name val="Times New Roman"/>
      <sz val="10"/>
    </font>
    <font>
      <name val="Times New Roman"/>
      <b val="1"/>
      <color rgb="FFCC0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00FFFFCC"/>
      </patternFill>
    </fill>
    <fill>
      <patternFill patternType="solid">
        <fgColor rgb="FFF2F2F2"/>
      </patternFill>
    </fill>
    <fill>
      <patternFill patternType="solid">
        <fgColor rgb="FFE7F5EE"/>
      </patternFill>
    </fill>
    <fill>
      <patternFill patternType="solid">
        <fgColor rgb="FFFDEEE5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FFC000"/>
      </left>
      <right style="medium">
        <color rgb="FFFFC000"/>
      </right>
      <top style="medium">
        <color rgb="FFFFC000"/>
      </top>
      <bottom style="medium">
        <color rgb="FFFFC000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1" pivotButton="0" quotePrefix="0" xfId="0"/>
    <xf numFmtId="165" fontId="6" fillId="5" borderId="1" pivotButton="0" quotePrefix="0" xfId="0"/>
    <xf numFmtId="0" fontId="9" fillId="0" borderId="1" pivotButton="0" quotePrefix="0" xfId="0"/>
    <xf numFmtId="165" fontId="7" fillId="0" borderId="1" pivotButton="0" quotePrefix="0" xfId="0"/>
    <xf numFmtId="10" fontId="7" fillId="0" borderId="1" pivotButton="0" quotePrefix="0" xfId="0"/>
    <xf numFmtId="0" fontId="2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2" borderId="1" applyAlignment="1" pivotButton="0" quotePrefix="0" xfId="0">
      <alignment horizontal="center" vertical="center"/>
    </xf>
    <xf numFmtId="0" fontId="6" fillId="6" borderId="0" pivotButton="0" quotePrefix="0" xfId="0"/>
    <xf numFmtId="0" fontId="10" fillId="0" borderId="0" pivotButton="0" quotePrefix="0" xfId="0"/>
    <xf numFmtId="0" fontId="4" fillId="0" borderId="1" pivotButton="0" quotePrefix="0" xfId="0"/>
    <xf numFmtId="1" fontId="4" fillId="3" borderId="1" pivotButton="0" quotePrefix="0" xfId="0"/>
    <xf numFmtId="10" fontId="4" fillId="3" borderId="1" pivotButton="0" quotePrefix="0" xfId="0"/>
    <xf numFmtId="0" fontId="5" fillId="0" borderId="1" pivotButton="0" quotePrefix="0" xfId="0"/>
    <xf numFmtId="10" fontId="5" fillId="0" borderId="1" pivotButton="0" quotePrefix="0" xfId="0"/>
    <xf numFmtId="2" fontId="4" fillId="3" borderId="1" pivotButton="0" quotePrefix="0" xfId="0"/>
    <xf numFmtId="164" fontId="4" fillId="3" borderId="1" pivotButton="0" quotePrefix="0" xfId="0"/>
    <xf numFmtId="165" fontId="5" fillId="0" borderId="1" pivotButton="0" quotePrefix="0" xfId="0"/>
    <xf numFmtId="10" fontId="6" fillId="5" borderId="1" pivotButton="0" quotePrefix="0" xfId="0"/>
    <xf numFmtId="0" fontId="7" fillId="0" borderId="1" pivotButton="0" quotePrefix="0" xfId="0"/>
    <xf numFmtId="165" fontId="6" fillId="0" borderId="1" pivotButton="0" quotePrefix="0" xfId="0"/>
    <xf numFmtId="0" fontId="8" fillId="0" borderId="1" pivotButton="0" quotePrefix="0" xfId="0"/>
    <xf numFmtId="2" fontId="8" fillId="0" borderId="1" pivotButton="0" quotePrefix="0" xfId="0"/>
    <xf numFmtId="165" fontId="9" fillId="0" borderId="1" pivotButton="0" quotePrefix="0" xfId="0"/>
    <xf numFmtId="10" fontId="6" fillId="0" borderId="1" pivotButton="0" quotePrefix="0" xfId="0"/>
    <xf numFmtId="10" fontId="8" fillId="0" borderId="1" pivotButton="0" quotePrefix="0" xfId="0"/>
    <xf numFmtId="2" fontId="5" fillId="0" borderId="1" pivotButton="0" quotePrefix="0" xfId="0"/>
    <xf numFmtId="2" fontId="7" fillId="4" borderId="1" pivotButton="0" quotePrefix="0" xfId="0"/>
    <xf numFmtId="165" fontId="5" fillId="3" borderId="1" pivotButton="0" quotePrefix="0" xfId="0"/>
    <xf numFmtId="2" fontId="5" fillId="3" borderId="1" pivotButton="0" quotePrefix="0" xfId="0"/>
    <xf numFmtId="164" fontId="5" fillId="3" borderId="1" pivotButton="0" quotePrefix="0" xfId="0"/>
    <xf numFmtId="164" fontId="8" fillId="0" borderId="1" pivotButton="0" quotePrefix="0" xfId="0"/>
    <xf numFmtId="10" fontId="4" fillId="3" borderId="1" applyAlignment="1" pivotButton="0" quotePrefix="0" xfId="0">
      <alignment horizontal="center" vertical="center"/>
    </xf>
    <xf numFmtId="165" fontId="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9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20" customWidth="1" min="3" max="3"/>
    <col width="16" customWidth="1" min="4" max="4"/>
    <col width="16" customWidth="1" min="5" max="5"/>
    <col width="44" customWidth="1" min="6" max="6"/>
  </cols>
  <sheetData>
    <row r="2">
      <c r="B2" s="1" t="inlineStr">
        <is>
          <t>FinScope 估值底稿</t>
        </is>
      </c>
    </row>
    <row r="3">
      <c r="B3" s="2" t="inlineStr">
        <is>
          <t>贵州茅台（600519）</t>
        </is>
      </c>
    </row>
    <row r="4">
      <c r="B4" s="3" t="inlineStr">
        <is>
          <t>估值基准期 2025-12-31 · 价格日期 2026-10-09 · 币种 CNY</t>
        </is>
      </c>
    </row>
    <row r="6">
      <c r="B6" s="4" t="inlineStr">
        <is>
          <t>一、结论（导出时的快照）</t>
        </is>
      </c>
    </row>
    <row r="7">
      <c r="B7" s="5" t="inlineStr">
        <is>
          <t>融合每股价值</t>
        </is>
      </c>
      <c r="C7" s="6" t="n">
        <v>1276.707382285304</v>
      </c>
    </row>
    <row r="8">
      <c r="B8" s="7" t="inlineStr">
        <is>
          <t>当前市价</t>
        </is>
      </c>
      <c r="C8" s="8" t="n">
        <v>1263</v>
      </c>
    </row>
    <row r="9">
      <c r="B9" s="7" t="inlineStr">
        <is>
          <t>上行 / 下行空间</t>
        </is>
      </c>
      <c r="C9" s="9" t="n">
        <v>0.01085303427181672</v>
      </c>
    </row>
    <row r="10">
      <c r="B10" s="5" t="inlineStr">
        <is>
          <t>估值判断</t>
        </is>
      </c>
      <c r="C10" s="5" t="inlineStr">
        <is>
          <t>大致合理</t>
        </is>
      </c>
    </row>
    <row r="11">
      <c r="B11" s="7" t="inlineStr">
        <is>
          <t>权重口径</t>
        </is>
      </c>
      <c r="C11" s="10" t="inlineStr">
        <is>
          <t>默认权重：DCF 50% / 相对估值 50%</t>
        </is>
      </c>
    </row>
    <row r="13" ht="30" customHeight="1">
      <c r="B13" s="3" t="inlineStr">
        <is>
          <t>注：本页是导出时的快照。改「参数假设」表后，DCF测算 / 三法融合 / 敏感性分析会联动，但本页文字不会自动更新——重新导出即可刷新。</t>
        </is>
      </c>
    </row>
    <row r="15">
      <c r="B15" s="4" t="inlineStr">
        <is>
          <t>二、工作表清单</t>
        </is>
      </c>
    </row>
    <row r="16">
      <c r="B16" s="7" t="inlineStr">
        <is>
          <t>参数假设</t>
        </is>
      </c>
      <c r="C16" s="10" t="inlineStr">
        <is>
          <t>全模型唯一输入源。改这里的蓝字黄底，其余表整链重算</t>
        </is>
      </c>
      <c r="D16" s="11" t="n"/>
      <c r="E16" s="11" t="n"/>
      <c r="F16" s="12" t="n"/>
    </row>
    <row r="17">
      <c r="B17" s="7" t="inlineStr">
        <is>
          <t>DCF测算</t>
        </is>
      </c>
      <c r="C17" s="10" t="inlineStr">
        <is>
          <t>FCFF 逐年测算，全部公式引用参数假设表</t>
        </is>
      </c>
      <c r="D17" s="11" t="n"/>
      <c r="E17" s="11" t="n"/>
      <c r="F17" s="12" t="n"/>
    </row>
    <row r="18">
      <c r="B18" s="7" t="inlineStr">
        <is>
          <t>相对估值</t>
        </is>
      </c>
      <c r="C18" s="10" t="inlineStr">
        <is>
          <t>可比公司倍数表 + 隐含价值，倍数可手改</t>
        </is>
      </c>
      <c r="D18" s="11" t="n"/>
      <c r="E18" s="11" t="n"/>
      <c r="F18" s="12" t="n"/>
    </row>
    <row r="19">
      <c r="B19" s="7" t="inlineStr">
        <is>
          <t>分部估值</t>
        </is>
      </c>
      <c r="C19" s="10" t="inlineStr">
        <is>
          <t>有分部数据时才生成（本次未生成）</t>
        </is>
      </c>
      <c r="D19" s="11" t="n"/>
      <c r="E19" s="11" t="n"/>
      <c r="F19" s="12" t="n"/>
    </row>
    <row r="20">
      <c r="B20" s="7" t="inlineStr">
        <is>
          <t>三法融合</t>
        </is>
      </c>
      <c r="C20" s="10" t="inlineStr">
        <is>
          <t>各方法每股价值加权（权重可改）</t>
        </is>
      </c>
      <c r="D20" s="11" t="n"/>
      <c r="E20" s="11" t="n"/>
      <c r="F20" s="12" t="n"/>
    </row>
    <row r="21">
      <c r="B21" s="7" t="inlineStr">
        <is>
          <t>敏感性分析</t>
        </is>
      </c>
      <c r="C21" s="10" t="inlineStr">
        <is>
          <t>WACC × 永续增长率矩阵，每格独立公式重算</t>
        </is>
      </c>
      <c r="D21" s="11" t="n"/>
      <c r="E21" s="11" t="n"/>
      <c r="F21" s="12" t="n"/>
    </row>
    <row r="22">
      <c r="B22" s="7" t="inlineStr">
        <is>
          <t>数据来源</t>
        </is>
      </c>
      <c r="C22" s="10" t="inlineStr">
        <is>
          <t>每个数字的出处与取数日期</t>
        </is>
      </c>
      <c r="D22" s="11" t="n"/>
      <c r="E22" s="11" t="n"/>
      <c r="F22" s="12" t="n"/>
    </row>
    <row r="24">
      <c r="B24" s="4" t="inlineStr">
        <is>
          <t>三、三情景</t>
        </is>
      </c>
    </row>
    <row r="25">
      <c r="B25" s="13" t="inlineStr">
        <is>
          <t>情景</t>
        </is>
      </c>
      <c r="C25" s="13" t="inlineStr">
        <is>
          <t>每股价值</t>
        </is>
      </c>
      <c r="D25" s="13" t="inlineStr">
        <is>
          <t>首年增速</t>
        </is>
      </c>
      <c r="E25" s="13" t="inlineStr">
        <is>
          <t>EBIT 利润率</t>
        </is>
      </c>
      <c r="F25" s="13" t="inlineStr">
        <is>
          <t>WACC</t>
        </is>
      </c>
    </row>
    <row r="26">
      <c r="B26" s="7" t="inlineStr">
        <is>
          <t>乐观</t>
        </is>
      </c>
      <c r="C26" s="8" t="n">
        <v>3125.914758186167</v>
      </c>
      <c r="D26" s="9" t="n">
        <v>0.1496910251003316</v>
      </c>
      <c r="E26" s="9" t="n">
        <v>0.7054395163945317</v>
      </c>
      <c r="F26" s="9" t="n">
        <v>0.04876011676096274</v>
      </c>
    </row>
    <row r="27">
      <c r="B27" s="7" t="inlineStr">
        <is>
          <t>基准</t>
        </is>
      </c>
      <c r="C27" s="8" t="n">
        <v>2032.667567181917</v>
      </c>
      <c r="D27" s="9" t="n">
        <v>0.1196910251003316</v>
      </c>
      <c r="E27" s="9" t="n">
        <v>0.6854395163945317</v>
      </c>
      <c r="F27" s="9" t="n">
        <v>0.05876011676096274</v>
      </c>
    </row>
    <row r="28">
      <c r="B28" s="7" t="inlineStr">
        <is>
          <t>悲观</t>
        </is>
      </c>
      <c r="C28" s="8" t="n">
        <v>1484.753944571197</v>
      </c>
      <c r="D28" s="9" t="n">
        <v>0.08969102510033158</v>
      </c>
      <c r="E28" s="9" t="n">
        <v>0.6654395163945317</v>
      </c>
      <c r="F28" s="9" t="n">
        <v>0.06876011676096273</v>
      </c>
    </row>
    <row r="30">
      <c r="B30" s="14" t="inlineStr">
        <is>
          <t>四、模型提示（交付前请逐条回应）</t>
        </is>
      </c>
    </row>
    <row r="31" ht="26" customHeight="1">
      <c r="B31" s="15" t="inlineStr">
        <is>
          <t>⚠ 终值两种算法偏离 121%（Gordon 43,158 亿 vs 退出倍数 10,653 亿），已取中点。根因多半是 WACC − g 只有 2.88%——分母太小会把 Gordon 终值放大。建议复核折现率假设。</t>
        </is>
      </c>
    </row>
    <row r="32" ht="26" customHeight="1">
      <c r="B32" s="15" t="inlineStr">
        <is>
          <t>⚠ 算出的 WACC（5.88%）低于市场隐含折现率（8.59%）272bp。折现率偏低会让 DCF 结果系统性高于市价——通常是无风险利率处在历史低位、Beta 偏低，或 ERP 取值偏小。建议把市场隐含折现率作为交叉验证，并在交付时说明这一分歧。</t>
        </is>
      </c>
    </row>
    <row r="33" ht="26" customHeight="1">
      <c r="B33" s="15" t="inlineStr">
        <is>
          <t>⚠ 没有提供分部数据，跳过 SOTP。</t>
        </is>
      </c>
    </row>
    <row r="34" ht="26" customHeight="1">
      <c r="B34" s="15" t="inlineStr">
        <is>
          <t>⚠ DCF（每股 2,032.67）与相对估值（每股 520.75）相差 290%。两者背离到这个程度，通常说明：折现率偏低、永续增速偏高，或者可比公司选得不对。加权平均值在这种情况下参考价值有限，请先定位是哪一头出了问题。</t>
        </is>
      </c>
    </row>
    <row r="36">
      <c r="B36" s="4" t="inlineStr">
        <is>
          <t>五、口径与免责</t>
        </is>
      </c>
    </row>
    <row r="37">
      <c r="B37" s="3" t="inlineStr">
        <is>
          <t>· 金额单位为报表原始货币的「元」，勿与「万元」「亿元」混用。</t>
        </is>
      </c>
    </row>
    <row r="38">
      <c r="B38" s="3" t="inlineStr">
        <is>
          <t>· 蓝字为手输/假设，蓝字黄底为关键驱动；黑字为公式链接，改动上游会自动联动。</t>
        </is>
      </c>
    </row>
    <row r="39">
      <c r="B39" s="3" t="inlineStr">
        <is>
          <t>· 本底稿由模型按既定假设计算，仅供研究与教学用途，不构成投资建议。</t>
        </is>
      </c>
    </row>
  </sheetData>
  <mergeCells count="15">
    <mergeCell ref="C22:F22"/>
    <mergeCell ref="C18:F18"/>
    <mergeCell ref="B39:F39"/>
    <mergeCell ref="C17:F17"/>
    <mergeCell ref="B38:F38"/>
    <mergeCell ref="B34:F34"/>
    <mergeCell ref="B33:F33"/>
    <mergeCell ref="C20:F20"/>
    <mergeCell ref="B37:F37"/>
    <mergeCell ref="C21:F21"/>
    <mergeCell ref="C16:F16"/>
    <mergeCell ref="B31:F31"/>
    <mergeCell ref="B32:F32"/>
    <mergeCell ref="C19:F1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3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16" customWidth="1" min="3" max="3"/>
    <col width="46" customWidth="1" min="4" max="4"/>
  </cols>
  <sheetData>
    <row r="2">
      <c r="B2" s="1" t="inlineStr">
        <is>
          <t>参数假设 —— 全模型唯一输入源</t>
        </is>
      </c>
    </row>
    <row r="3">
      <c r="B3" s="3" t="inlineStr">
        <is>
          <t>蓝字为手输假设，蓝字黄底为关键驱动。改这里，其余各表整链重算。</t>
        </is>
      </c>
    </row>
    <row r="5">
      <c r="B5" s="13" t="inlineStr">
        <is>
          <t>参数</t>
        </is>
      </c>
      <c r="C5" s="13" t="inlineStr">
        <is>
          <t>取值</t>
        </is>
      </c>
      <c r="D5" s="13" t="inlineStr">
        <is>
          <t>来源 / 口径</t>
        </is>
      </c>
    </row>
    <row r="6">
      <c r="B6" s="16" t="inlineStr">
        <is>
          <t>预测期年数</t>
        </is>
      </c>
      <c r="C6" s="17" t="n">
        <v>5</v>
      </c>
      <c r="D6" s="10" t="inlineStr">
        <is>
          <t>3–10 年；太长会被终值主导</t>
        </is>
      </c>
    </row>
    <row r="7">
      <c r="B7" s="16" t="inlineStr">
        <is>
          <t>首年收入增速</t>
        </is>
      </c>
      <c r="C7" s="18" t="n">
        <v>0.1196910251003316</v>
      </c>
      <c r="D7" s="10" t="inlineStr">
        <is>
          <t>历史 CAGR</t>
        </is>
      </c>
    </row>
    <row r="8">
      <c r="B8" s="16" t="inlineStr">
        <is>
          <t>EBIT 利润率</t>
        </is>
      </c>
      <c r="C8" s="18" t="n">
        <v>0.6854395163945317</v>
      </c>
      <c r="D8" s="10" t="inlineStr">
        <is>
          <t>近三年中位数</t>
        </is>
      </c>
    </row>
    <row r="9">
      <c r="B9" s="19" t="inlineStr">
        <is>
          <t>折旧摊销 / 收入</t>
        </is>
      </c>
      <c r="C9" s="20" t="n">
        <v>0.01220545818168475</v>
      </c>
      <c r="D9" s="10" t="inlineStr">
        <is>
          <t>近三年中位数</t>
        </is>
      </c>
    </row>
    <row r="10">
      <c r="B10" s="19" t="inlineStr">
        <is>
          <t>资本开支 / 收入</t>
        </is>
      </c>
      <c r="C10" s="20" t="n">
        <v>0.01817796616975611</v>
      </c>
      <c r="D10" s="10" t="inlineStr">
        <is>
          <t>近三年中位数</t>
        </is>
      </c>
    </row>
    <row r="11">
      <c r="B11" s="19" t="inlineStr">
        <is>
          <t>营运资本变动 / 收入</t>
        </is>
      </c>
      <c r="C11" s="20" t="n">
        <v>0.01722711546091428</v>
      </c>
      <c r="D11" s="10" t="inlineStr">
        <is>
          <t>近三年中位数</t>
        </is>
      </c>
    </row>
    <row r="12">
      <c r="B12" s="16" t="inlineStr">
        <is>
          <t>永续增长率 g</t>
        </is>
      </c>
      <c r="C12" s="18" t="n">
        <v>0.03</v>
      </c>
      <c r="D12" s="10" t="inlineStr">
        <is>
          <t>上限 4.0%（按长期名义 GDP）</t>
        </is>
      </c>
    </row>
    <row r="14">
      <c r="B14" s="16" t="inlineStr">
        <is>
          <t>无风险利率 rf</t>
        </is>
      </c>
      <c r="C14" s="18" t="n">
        <v>0.016864</v>
      </c>
      <c r="D14" s="10" t="inlineStr">
        <is>
          <t>基准日 10 年期国债收益率</t>
        </is>
      </c>
    </row>
    <row r="15">
      <c r="B15" s="16" t="inlineStr">
        <is>
          <t>股权风险溢价 ERP</t>
        </is>
      </c>
      <c r="C15" s="18" t="n">
        <v>0.0514</v>
      </c>
      <c r="D15" s="10" t="inlineStr">
        <is>
          <t>Damodaran 国家风险溢价</t>
        </is>
      </c>
    </row>
    <row r="16">
      <c r="B16" s="16" t="inlineStr">
        <is>
          <t>Beta</t>
        </is>
      </c>
      <c r="C16" s="21" t="n">
        <v>0.8153</v>
      </c>
      <c r="D16" s="10" t="inlineStr">
        <is>
          <t>数据源 Beta</t>
        </is>
      </c>
    </row>
    <row r="17">
      <c r="B17" s="19" t="inlineStr">
        <is>
          <t>税前债务成本 Kd</t>
        </is>
      </c>
      <c r="C17" s="20" t="n">
        <v>0.035</v>
      </c>
      <c r="D17" s="10" t="inlineStr">
        <is>
          <t>A 市场默认值</t>
        </is>
      </c>
    </row>
    <row r="18">
      <c r="B18" s="16" t="inlineStr">
        <is>
          <t>所得税率</t>
        </is>
      </c>
      <c r="C18" s="18" t="n">
        <v>0.2523270020463321</v>
      </c>
      <c r="D18" s="10" t="inlineStr">
        <is>
          <t>近三年有效税率中位数（夹在 15%–30%）</t>
        </is>
      </c>
    </row>
    <row r="19">
      <c r="B19" s="16" t="inlineStr">
        <is>
          <t>股权占比 E/V</t>
        </is>
      </c>
      <c r="C19" s="22" t="n">
        <v>0.9996839678032338</v>
      </c>
      <c r="D19" s="10" t="inlineStr">
        <is>
          <t>当前市值口径（E=市值，D=报表有息负债）</t>
        </is>
      </c>
    </row>
    <row r="21">
      <c r="B21" s="19" t="inlineStr">
        <is>
          <t>基准年营业收入</t>
        </is>
      </c>
      <c r="C21" s="23" t="n">
        <v>172054171891</v>
      </c>
      <c r="D21" s="10" t="inlineStr">
        <is>
          <t>金额按「元」填写；DCF 表用它起算</t>
        </is>
      </c>
    </row>
    <row r="22">
      <c r="B22" s="19" t="inlineStr">
        <is>
          <t>货币资金</t>
        </is>
      </c>
      <c r="C22" s="23" t="n">
        <v>51690610947</v>
      </c>
      <c r="D22" s="10" t="inlineStr"/>
    </row>
    <row r="23">
      <c r="B23" s="19" t="inlineStr">
        <is>
          <t>有息负债</t>
        </is>
      </c>
      <c r="C23" s="23" t="n">
        <v>500000000</v>
      </c>
      <c r="D23" s="10" t="inlineStr"/>
    </row>
    <row r="24">
      <c r="B24" s="19" t="inlineStr">
        <is>
          <t>少数股东权益</t>
        </is>
      </c>
      <c r="C24" s="23" t="n">
        <v>0</v>
      </c>
      <c r="D24" s="10" t="inlineStr"/>
    </row>
    <row r="25">
      <c r="B25" s="19" t="inlineStr">
        <is>
          <t>优先股</t>
        </is>
      </c>
      <c r="C25" s="23" t="n">
        <v>0</v>
      </c>
      <c r="D25" s="10" t="inlineStr"/>
    </row>
    <row r="26">
      <c r="B26" s="19" t="inlineStr">
        <is>
          <t>股本（股）</t>
        </is>
      </c>
      <c r="C26" s="23" t="n">
        <v>1252270215</v>
      </c>
      <c r="D26" s="10" t="inlineStr">
        <is>
          <t>用于把股权价值换算成每股价值</t>
        </is>
      </c>
    </row>
    <row r="27">
      <c r="B27" s="19" t="inlineStr">
        <is>
          <t>当前股价</t>
        </is>
      </c>
      <c r="C27" s="23" t="n">
        <v>1263</v>
      </c>
      <c r="D27" s="10" t="inlineStr">
        <is>
          <t>取数日收盘价；用于算上行 / 下行空间</t>
        </is>
      </c>
    </row>
    <row r="28">
      <c r="B28" s="16" t="inlineStr">
        <is>
          <t>退出倍数 EV/EBITDA</t>
        </is>
      </c>
      <c r="C28" s="21" t="n">
        <v>6.2</v>
      </c>
      <c r="D28" s="10" t="inlineStr">
        <is>
          <t>同业中位 EV/EBITDA</t>
        </is>
      </c>
    </row>
    <row r="30">
      <c r="B30" s="4" t="inlineStr">
        <is>
          <t>股权成本 Ke</t>
        </is>
      </c>
      <c r="C30" s="9">
        <f>参数假设!$C$14+参数假设!$C$16*参数假设!$C$15</f>
        <v/>
      </c>
      <c r="D30" s="10" t="inlineStr">
        <is>
          <t>公式：rf + β × ERP</t>
        </is>
      </c>
    </row>
    <row r="31">
      <c r="B31" s="4" t="inlineStr">
        <is>
          <t>WACC</t>
        </is>
      </c>
      <c r="C31" s="24">
        <f>参数假设!$C$19*C30+(1-参数假设!$C$19)*参数假设!$C$17*(1-参数假设!$C$18)</f>
        <v/>
      </c>
      <c r="D31" s="10" t="inlineStr">
        <is>
          <t>公式：E/V×Ke + (1−E/V)×Kd×(1−税率)</t>
        </is>
      </c>
    </row>
    <row r="33">
      <c r="B33" s="3" t="inlineStr">
        <is>
          <t>改这里 → DCF 测算、敏感性矩阵、三法融合会整链重算。「说明」表的结论文字是导出时的快照，改完假设请重新导出。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2">
      <c r="B2" s="1" t="inlineStr">
        <is>
          <t>DCF 测算（FCFF 口径，全表公式联动）</t>
        </is>
      </c>
    </row>
    <row r="3">
      <c r="B3" s="3" t="inlineStr">
        <is>
          <t>本表所有数字都是公式，引用「参数假设」表。改假设即可联动。</t>
        </is>
      </c>
    </row>
    <row r="5">
      <c r="B5" s="13" t="inlineStr">
        <is>
          <t>项目</t>
        </is>
      </c>
      <c r="C5" s="13" t="inlineStr">
        <is>
          <t>第 1 年</t>
        </is>
      </c>
      <c r="D5" s="13" t="inlineStr">
        <is>
          <t>第 2 年</t>
        </is>
      </c>
      <c r="E5" s="13" t="inlineStr">
        <is>
          <t>第 3 年</t>
        </is>
      </c>
      <c r="F5" s="13" t="inlineStr">
        <is>
          <t>第 4 年</t>
        </is>
      </c>
      <c r="G5" s="13" t="inlineStr">
        <is>
          <t>第 5 年</t>
        </is>
      </c>
    </row>
    <row r="6">
      <c r="B6" s="25" t="inlineStr">
        <is>
          <t>收入增速</t>
        </is>
      </c>
      <c r="C6" s="9">
        <f>参数假设!$C$7+(参数假设!$C$12-参数假设!$C$7)*0/(参数假设!$C$6-1)</f>
        <v/>
      </c>
      <c r="D6" s="9">
        <f>参数假设!$C$7+(参数假设!$C$12-参数假设!$C$7)*1/(参数假设!$C$6-1)</f>
        <v/>
      </c>
      <c r="E6" s="9">
        <f>参数假设!$C$7+(参数假设!$C$12-参数假设!$C$7)*2/(参数假设!$C$6-1)</f>
        <v/>
      </c>
      <c r="F6" s="9">
        <f>参数假设!$C$7+(参数假设!$C$12-参数假设!$C$7)*3/(参数假设!$C$6-1)</f>
        <v/>
      </c>
      <c r="G6" s="9">
        <f>参数假设!$C$7+(参数假设!$C$12-参数假设!$C$7)*4/(参数假设!$C$6-1)</f>
        <v/>
      </c>
    </row>
    <row r="7">
      <c r="B7" s="25" t="inlineStr">
        <is>
          <t>营业收入</t>
        </is>
      </c>
      <c r="C7" s="8">
        <f>参数假设!$C$21*(1+C6)</f>
        <v/>
      </c>
      <c r="D7" s="8">
        <f>C7*(1+D6)</f>
        <v/>
      </c>
      <c r="E7" s="8">
        <f>D7*(1+E6)</f>
        <v/>
      </c>
      <c r="F7" s="8">
        <f>E7*(1+F6)</f>
        <v/>
      </c>
      <c r="G7" s="8">
        <f>F7*(1+G6)</f>
        <v/>
      </c>
    </row>
    <row r="8">
      <c r="B8" s="25" t="inlineStr">
        <is>
          <t>EBIT</t>
        </is>
      </c>
      <c r="C8" s="8">
        <f>C7*参数假设!$C$8</f>
        <v/>
      </c>
      <c r="D8" s="8">
        <f>D7*参数假设!$C$8</f>
        <v/>
      </c>
      <c r="E8" s="8">
        <f>E7*参数假设!$C$8</f>
        <v/>
      </c>
      <c r="F8" s="8">
        <f>F7*参数假设!$C$8</f>
        <v/>
      </c>
      <c r="G8" s="8">
        <f>G7*参数假设!$C$8</f>
        <v/>
      </c>
    </row>
    <row r="9">
      <c r="B9" s="25" t="inlineStr">
        <is>
          <t>减：现金所得税</t>
        </is>
      </c>
      <c r="C9" s="8">
        <f>C8*参数假设!$C$18</f>
        <v/>
      </c>
      <c r="D9" s="8">
        <f>D8*参数假设!$C$18</f>
        <v/>
      </c>
      <c r="E9" s="8">
        <f>E8*参数假设!$C$18</f>
        <v/>
      </c>
      <c r="F9" s="8">
        <f>F8*参数假设!$C$18</f>
        <v/>
      </c>
      <c r="G9" s="8">
        <f>G8*参数假设!$C$18</f>
        <v/>
      </c>
    </row>
    <row r="10">
      <c r="B10" s="5" t="inlineStr">
        <is>
          <t>NOPAT</t>
        </is>
      </c>
      <c r="C10" s="26">
        <f>C8-C9</f>
        <v/>
      </c>
      <c r="D10" s="26">
        <f>D8-D9</f>
        <v/>
      </c>
      <c r="E10" s="26">
        <f>E8-E9</f>
        <v/>
      </c>
      <c r="F10" s="26">
        <f>F8-F9</f>
        <v/>
      </c>
      <c r="G10" s="26">
        <f>G8-G9</f>
        <v/>
      </c>
    </row>
    <row r="11">
      <c r="B11" s="25" t="inlineStr">
        <is>
          <t>加：折旧摊销</t>
        </is>
      </c>
      <c r="C11" s="8">
        <f>C7*参数假设!$C$9</f>
        <v/>
      </c>
      <c r="D11" s="8">
        <f>D7*参数假设!$C$9</f>
        <v/>
      </c>
      <c r="E11" s="8">
        <f>E7*参数假设!$C$9</f>
        <v/>
      </c>
      <c r="F11" s="8">
        <f>F7*参数假设!$C$9</f>
        <v/>
      </c>
      <c r="G11" s="8">
        <f>G7*参数假设!$C$9</f>
        <v/>
      </c>
    </row>
    <row r="12">
      <c r="B12" s="25" t="inlineStr">
        <is>
          <t>减：资本开支</t>
        </is>
      </c>
      <c r="C12" s="8">
        <f>C7*参数假设!$C$10</f>
        <v/>
      </c>
      <c r="D12" s="8">
        <f>D7*参数假设!$C$10</f>
        <v/>
      </c>
      <c r="E12" s="8">
        <f>E7*参数假设!$C$10</f>
        <v/>
      </c>
      <c r="F12" s="8">
        <f>F7*参数假设!$C$10</f>
        <v/>
      </c>
      <c r="G12" s="8">
        <f>G7*参数假设!$C$10</f>
        <v/>
      </c>
    </row>
    <row r="13">
      <c r="B13" s="25" t="inlineStr">
        <is>
          <t>减：营运资本增加</t>
        </is>
      </c>
      <c r="C13" s="8">
        <f>C7*参数假设!$C$11</f>
        <v/>
      </c>
      <c r="D13" s="8">
        <f>D7*参数假设!$C$11</f>
        <v/>
      </c>
      <c r="E13" s="8">
        <f>E7*参数假设!$C$11</f>
        <v/>
      </c>
      <c r="F13" s="8">
        <f>F7*参数假设!$C$11</f>
        <v/>
      </c>
      <c r="G13" s="8">
        <f>G7*参数假设!$C$11</f>
        <v/>
      </c>
    </row>
    <row r="14">
      <c r="B14" s="5" t="inlineStr">
        <is>
          <t>自由现金流 FCFF</t>
        </is>
      </c>
      <c r="C14" s="26">
        <f>C10+C11-C12-C13</f>
        <v/>
      </c>
      <c r="D14" s="26">
        <f>D10+D11-D12-D13</f>
        <v/>
      </c>
      <c r="E14" s="26">
        <f>E10+E11-E12-E13</f>
        <v/>
      </c>
      <c r="F14" s="26">
        <f>F10+F11-F12-F13</f>
        <v/>
      </c>
      <c r="G14" s="26">
        <f>G10+G11-G12-G13</f>
        <v/>
      </c>
    </row>
    <row r="15">
      <c r="B15" s="27" t="inlineStr">
        <is>
          <t>折现系数（期中折现）</t>
        </is>
      </c>
      <c r="C15" s="28">
        <f>1/(1+参数假设!$C$31)^(0+0.5)</f>
        <v/>
      </c>
      <c r="D15" s="28">
        <f>1/(1+参数假设!$C$31)^(1+0.5)</f>
        <v/>
      </c>
      <c r="E15" s="28">
        <f>1/(1+参数假设!$C$31)^(2+0.5)</f>
        <v/>
      </c>
      <c r="F15" s="28">
        <f>1/(1+参数假设!$C$31)^(3+0.5)</f>
        <v/>
      </c>
      <c r="G15" s="28">
        <f>1/(1+参数假设!$C$31)^(4+0.5)</f>
        <v/>
      </c>
    </row>
    <row r="16">
      <c r="B16" s="25" t="inlineStr">
        <is>
          <t>现金流现值</t>
        </is>
      </c>
      <c r="C16" s="8">
        <f>C14*C15</f>
        <v/>
      </c>
      <c r="D16" s="8">
        <f>D14*D15</f>
        <v/>
      </c>
      <c r="E16" s="8">
        <f>E14*E15</f>
        <v/>
      </c>
      <c r="F16" s="8">
        <f>F14*F15</f>
        <v/>
      </c>
      <c r="G16" s="8">
        <f>G14*G15</f>
        <v/>
      </c>
    </row>
    <row r="18">
      <c r="B18" s="7" t="inlineStr">
        <is>
          <t>详细预测期现值合计</t>
        </is>
      </c>
      <c r="C18" s="29">
        <f>SUM(C16:G16)</f>
        <v/>
      </c>
    </row>
    <row r="19">
      <c r="B19" s="7" t="inlineStr">
        <is>
          <t>终值 · Gordon 永续法</t>
        </is>
      </c>
      <c r="C19" s="29">
        <f>G14*(1+参数假设!$C$12)/(参数假设!$C$31-参数假设!$C$12)</f>
        <v/>
      </c>
    </row>
    <row r="20">
      <c r="B20" s="7" t="inlineStr">
        <is>
          <t>终值 · 退出倍数法</t>
        </is>
      </c>
      <c r="C20" s="29">
        <f>(G8+G11)*参数假设!$C$28</f>
        <v/>
      </c>
    </row>
    <row r="21">
      <c r="B21" s="5" t="inlineStr">
        <is>
          <t>终值取中点</t>
        </is>
      </c>
      <c r="C21" s="26">
        <f>AVERAGE(C19:C20)</f>
        <v/>
      </c>
    </row>
    <row r="22">
      <c r="B22" s="7" t="inlineStr">
        <is>
          <t>终值现值</t>
        </is>
      </c>
      <c r="C22" s="29">
        <f>C21/(1+参数假设!$C$31)^参数假设!$C$6</f>
        <v/>
      </c>
    </row>
    <row r="23">
      <c r="B23" s="5" t="inlineStr">
        <is>
          <t>企业价值 EV</t>
        </is>
      </c>
      <c r="C23" s="26">
        <f>C18+C22</f>
        <v/>
      </c>
    </row>
    <row r="24">
      <c r="B24" s="7" t="inlineStr">
        <is>
          <t>加：货币资金</t>
        </is>
      </c>
      <c r="C24" s="29">
        <f>参数假设!$C$22</f>
        <v/>
      </c>
    </row>
    <row r="25">
      <c r="B25" s="7" t="inlineStr">
        <is>
          <t>减：有息负债</t>
        </is>
      </c>
      <c r="C25" s="29">
        <f>参数假设!$C$23</f>
        <v/>
      </c>
    </row>
    <row r="26">
      <c r="B26" s="7" t="inlineStr">
        <is>
          <t>减：少数股东权益</t>
        </is>
      </c>
      <c r="C26" s="29">
        <f>参数假设!$C$24</f>
        <v/>
      </c>
    </row>
    <row r="27">
      <c r="B27" s="7" t="inlineStr">
        <is>
          <t>减：优先股</t>
        </is>
      </c>
      <c r="C27" s="29">
        <f>参数假设!$C$25</f>
        <v/>
      </c>
    </row>
    <row r="28">
      <c r="B28" s="5" t="inlineStr">
        <is>
          <t>股权价值</t>
        </is>
      </c>
      <c r="C28" s="26">
        <f>C23+C24-C25-C26-C27</f>
        <v/>
      </c>
    </row>
    <row r="29">
      <c r="B29" s="7" t="inlineStr">
        <is>
          <t>股本（股）</t>
        </is>
      </c>
      <c r="C29" s="29">
        <f>参数假设!$C$26</f>
        <v/>
      </c>
    </row>
    <row r="30">
      <c r="B30" s="5" t="inlineStr">
        <is>
          <t>每股价值</t>
        </is>
      </c>
      <c r="C30" s="26">
        <f>IFERROR(C28/C29,"")</f>
        <v/>
      </c>
    </row>
    <row r="31">
      <c r="B31" s="7" t="inlineStr">
        <is>
          <t>当前股价</t>
        </is>
      </c>
      <c r="C31" s="29">
        <f>参数假设!$C$27</f>
        <v/>
      </c>
    </row>
    <row r="32">
      <c r="B32" s="5" t="inlineStr">
        <is>
          <t>上行 / 下行空间</t>
        </is>
      </c>
      <c r="C32" s="30">
        <f>IFERROR(C30/C31-1,"")</f>
        <v/>
      </c>
    </row>
    <row r="33">
      <c r="B33" s="27" t="inlineStr">
        <is>
          <t>终值占企业价值比例</t>
        </is>
      </c>
      <c r="C33" s="31">
        <f>IFERROR(C22/C23,"")</f>
        <v/>
      </c>
    </row>
    <row r="35">
      <c r="B35" s="3" t="inlineStr">
        <is>
          <t>提示：终值占比超过 85% 说明这个模型实质上是在押倍数扩张；Gordon 与退出倍数偏离超过 30% 时应回头核对折现率假设。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3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14" customWidth="1" min="3" max="3"/>
    <col width="14" customWidth="1" min="4" max="4"/>
    <col width="14" customWidth="1" min="5" max="5"/>
    <col width="16" customWidth="1" min="6" max="6"/>
    <col width="20" customWidth="1" min="7" max="7"/>
    <col width="22" customWidth="1" min="8" max="8"/>
  </cols>
  <sheetData>
    <row r="2">
      <c r="B2" s="1" t="inlineStr">
        <is>
          <t>相对估值（可比公司法，公式联动）</t>
        </is>
      </c>
    </row>
    <row r="3">
      <c r="B3" s="3" t="inlineStr">
        <is>
          <t>各选用倍数取同业中位数，再按目标与同业的差异做调整。倍数列是蓝字手输。</t>
        </is>
      </c>
    </row>
    <row r="6">
      <c r="B6" s="13" t="inlineStr">
        <is>
          <t>简称</t>
        </is>
      </c>
      <c r="C6" s="13" t="inlineStr">
        <is>
          <t>代码</t>
        </is>
      </c>
      <c r="D6" s="13" t="inlineStr">
        <is>
          <t>PE</t>
        </is>
      </c>
      <c r="E6" s="13" t="inlineStr">
        <is>
          <t>PB</t>
        </is>
      </c>
      <c r="F6" s="13" t="inlineStr">
        <is>
          <t>PS</t>
        </is>
      </c>
      <c r="G6" s="13" t="inlineStr">
        <is>
          <t>EV/EBITDA</t>
        </is>
      </c>
      <c r="H6" s="13" t="inlineStr">
        <is>
          <t>收入增速</t>
        </is>
      </c>
      <c r="I6" s="13" t="inlineStr">
        <is>
          <t>EBITDA利润率</t>
        </is>
      </c>
    </row>
    <row r="7">
      <c r="B7" s="7" t="inlineStr">
        <is>
          <t>五粮液</t>
        </is>
      </c>
      <c r="C7" s="7" t="inlineStr">
        <is>
          <t>000858</t>
        </is>
      </c>
      <c r="D7" s="32" t="n">
        <v>8.25</v>
      </c>
      <c r="E7" s="32" t="n">
        <v>2.01</v>
      </c>
      <c r="F7" s="32" t="n">
        <v>3.07</v>
      </c>
      <c r="G7" s="32" t="n">
        <v>5.6</v>
      </c>
      <c r="H7" s="20" t="n">
        <v>0.05</v>
      </c>
      <c r="I7" s="20" t="n">
        <v>0.42</v>
      </c>
    </row>
    <row r="8">
      <c r="B8" s="7" t="inlineStr">
        <is>
          <t>泸州老窖</t>
        </is>
      </c>
      <c r="C8" s="7" t="inlineStr">
        <is>
          <t>000568</t>
        </is>
      </c>
      <c r="D8" s="32" t="n">
        <v>9.69</v>
      </c>
      <c r="E8" s="32" t="n">
        <v>2.11</v>
      </c>
      <c r="F8" s="32" t="n">
        <v>4.09</v>
      </c>
      <c r="G8" s="32" t="n">
        <v>6.2</v>
      </c>
      <c r="H8" s="20" t="n">
        <v>0.08</v>
      </c>
      <c r="I8" s="20" t="n">
        <v>0.45</v>
      </c>
    </row>
    <row r="9">
      <c r="B9" s="7" t="inlineStr">
        <is>
          <t>山西汾酒</t>
        </is>
      </c>
      <c r="C9" s="7" t="inlineStr">
        <is>
          <t>600809</t>
        </is>
      </c>
      <c r="D9" s="32" t="n">
        <v>11.48</v>
      </c>
      <c r="E9" s="32" t="n">
        <v>3.52</v>
      </c>
      <c r="F9" s="32" t="n">
        <v>3.65</v>
      </c>
      <c r="G9" s="32" t="n">
        <v>7.1</v>
      </c>
      <c r="H9" s="20" t="n">
        <v>0.12</v>
      </c>
      <c r="I9" s="20" t="n">
        <v>0.38</v>
      </c>
    </row>
    <row r="10">
      <c r="B10" s="7" t="inlineStr">
        <is>
          <t>洋河股份</t>
        </is>
      </c>
      <c r="C10" s="7" t="inlineStr">
        <is>
          <t>002304</t>
        </is>
      </c>
      <c r="D10" s="32" t="n">
        <v>8.42</v>
      </c>
      <c r="E10" s="32" t="n">
        <v>1.09</v>
      </c>
      <c r="F10" s="32" t="n">
        <v>1.94</v>
      </c>
      <c r="G10" s="32" t="n">
        <v>5.1</v>
      </c>
      <c r="H10" s="20" t="n">
        <v>-0.05</v>
      </c>
      <c r="I10" s="20" t="n">
        <v>0.3</v>
      </c>
    </row>
    <row r="11">
      <c r="B11" s="7" t="inlineStr">
        <is>
          <t>古井贡酒</t>
        </is>
      </c>
      <c r="C11" s="7" t="inlineStr">
        <is>
          <t>000596</t>
        </is>
      </c>
      <c r="D11" s="32" t="n">
        <v>13.45</v>
      </c>
      <c r="E11" s="32" t="n">
        <v>1.88</v>
      </c>
      <c r="F11" s="32" t="n">
        <v>2.6</v>
      </c>
      <c r="G11" s="32" t="n">
        <v>8.300000000000001</v>
      </c>
      <c r="H11" s="20" t="n">
        <v>0.1</v>
      </c>
      <c r="I11" s="20" t="n">
        <v>0.31</v>
      </c>
    </row>
    <row r="12">
      <c r="B12" s="4" t="inlineStr">
        <is>
          <t>同业中位数</t>
        </is>
      </c>
      <c r="D12" s="33">
        <f>IFERROR(MEDIAN(D7:D11),"")</f>
        <v/>
      </c>
      <c r="E12" s="33">
        <f>IFERROR(MEDIAN(E7:E11),"")</f>
        <v/>
      </c>
      <c r="F12" s="33">
        <f>IFERROR(MEDIAN(F7:F11),"")</f>
        <v/>
      </c>
      <c r="G12" s="33">
        <f>IFERROR(MEDIAN(G7:G11),"")</f>
        <v/>
      </c>
    </row>
    <row r="15">
      <c r="B15" s="4" t="inlineStr">
        <is>
          <t>标的指标</t>
        </is>
      </c>
    </row>
    <row r="16">
      <c r="B16" s="7" t="inlineStr">
        <is>
          <t>基准年净利润</t>
        </is>
      </c>
      <c r="C16" s="34" t="n">
        <v>85310324834</v>
      </c>
    </row>
    <row r="17">
      <c r="B17" s="7" t="inlineStr">
        <is>
          <t>基准年净资产</t>
        </is>
      </c>
      <c r="C17" s="34" t="n">
        <v>253959253909</v>
      </c>
    </row>
    <row r="18">
      <c r="B18" s="7" t="inlineStr">
        <is>
          <t>基准年营业收入</t>
        </is>
      </c>
      <c r="C18" s="34" t="n">
        <v>172054171891</v>
      </c>
    </row>
    <row r="19">
      <c r="B19" s="7" t="inlineStr">
        <is>
          <t>基准年 EBITDA</t>
        </is>
      </c>
      <c r="C19" s="34" t="n">
        <v>116908950164</v>
      </c>
    </row>
    <row r="20">
      <c r="B20" s="7" t="inlineStr">
        <is>
          <t>净负债</t>
        </is>
      </c>
      <c r="C20" s="8">
        <f>参数假设!$C$23-参数假设!$C$22</f>
        <v/>
      </c>
    </row>
    <row r="22">
      <c r="B22" s="4" t="inlineStr">
        <is>
          <t>隐含股权价值</t>
        </is>
      </c>
    </row>
    <row r="23">
      <c r="B23" s="7" t="inlineStr">
        <is>
          <t>PE 法</t>
        </is>
      </c>
      <c r="C23" s="8">
        <f>IFERROR(D12*$C$16,"")</f>
        <v/>
      </c>
    </row>
    <row r="24">
      <c r="B24" s="7" t="inlineStr">
        <is>
          <t>PB 法</t>
        </is>
      </c>
      <c r="C24" s="8">
        <f>IFERROR(E12*$C$17,"")</f>
        <v/>
      </c>
    </row>
    <row r="25">
      <c r="B25" s="7" t="inlineStr">
        <is>
          <t>PS 法</t>
        </is>
      </c>
      <c r="C25" s="8">
        <f>IFERROR(F12*$C$18,"")</f>
        <v/>
      </c>
    </row>
    <row r="26">
      <c r="B26" s="7" t="inlineStr">
        <is>
          <t>EV/EBITDA 法</t>
        </is>
      </c>
      <c r="C26" s="8">
        <f>IFERROR(G12*$C$19-$C$20,"")</f>
        <v/>
      </c>
    </row>
    <row r="27">
      <c r="B27" s="5" t="inlineStr">
        <is>
          <t>各法隐含股权价值（中位）</t>
        </is>
      </c>
      <c r="C27" s="6">
        <f>MEDIAN(C23,C24,C25,C26)</f>
        <v/>
      </c>
    </row>
    <row r="28">
      <c r="B28" s="5" t="inlineStr">
        <is>
          <t>隐含每股价值</t>
        </is>
      </c>
      <c r="C28" s="26">
        <f>IFERROR(C27/参数假设!$C$26,"")</f>
        <v/>
      </c>
    </row>
    <row r="30">
      <c r="B30" s="2" t="inlineStr">
        <is>
          <t>口径说明</t>
        </is>
      </c>
    </row>
    <row r="31">
      <c r="B31" s="3" t="inlineStr">
        <is>
          <t>· 同业中位数而非均值：中位数对极端值更稳健。</t>
        </is>
      </c>
    </row>
    <row r="32">
      <c r="B32" s="3" t="inlineStr">
        <is>
          <t>· EV 类倍数算出企业价值后要扣减净负债，才是股权价值。</t>
        </is>
      </c>
    </row>
    <row r="33">
      <c r="B33" s="3" t="inlineStr">
        <is>
          <t>· 目标与同业在增速/利润率/杠杆上差异明显时，应调整倍数并说明理由。</t>
        </is>
      </c>
    </row>
  </sheetData>
  <mergeCells count="3">
    <mergeCell ref="B32:H32"/>
    <mergeCell ref="B31:H31"/>
    <mergeCell ref="B33:H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4" customWidth="1" min="3" max="3"/>
    <col width="18" customWidth="1" min="4" max="4"/>
    <col width="14" customWidth="1" min="5" max="5"/>
    <col width="20" customWidth="1" min="6" max="6"/>
  </cols>
  <sheetData>
    <row r="2">
      <c r="B2" s="1" t="inlineStr">
        <is>
          <t>分部估值（SOTP，公式联动）</t>
        </is>
      </c>
    </row>
    <row r="3">
      <c r="B3" s="3" t="inlineStr">
        <is>
          <t>各分部按纯业务可比公司的中位倍数估值，加总后扣减总部费用与净负债。</t>
        </is>
      </c>
    </row>
    <row r="4" ht="28" customHeight="1">
      <c r="B4" s="15" t="inlineStr">
        <is>
          <t>⚠ 本次未取到分部财务数据（免费源不提供分部拆分）。请在下面蓝字格手工填入各分部的指标值与可比倍数，表内会自动算出结果。</t>
        </is>
      </c>
    </row>
    <row r="6">
      <c r="B6" s="13" t="inlineStr">
        <is>
          <t>分部</t>
        </is>
      </c>
      <c r="C6" s="13" t="inlineStr">
        <is>
          <t>指标口径</t>
        </is>
      </c>
      <c r="D6" s="13" t="inlineStr">
        <is>
          <t>指标值</t>
        </is>
      </c>
      <c r="E6" s="13" t="inlineStr">
        <is>
          <t>采用倍数</t>
        </is>
      </c>
      <c r="F6" s="13" t="inlineStr">
        <is>
          <t>分部企业价值</t>
        </is>
      </c>
    </row>
    <row r="7">
      <c r="B7" s="19" t="inlineStr"/>
      <c r="C7" s="7" t="inlineStr">
        <is>
          <t>EBITDA</t>
        </is>
      </c>
      <c r="D7" s="34" t="n"/>
      <c r="E7" s="35" t="n"/>
      <c r="F7" s="8">
        <f>IFERROR(D7*E7,0)</f>
        <v/>
      </c>
    </row>
    <row r="8">
      <c r="B8" s="19" t="inlineStr"/>
      <c r="C8" s="7" t="inlineStr">
        <is>
          <t>EBITDA</t>
        </is>
      </c>
      <c r="D8" s="34" t="n"/>
      <c r="E8" s="35" t="n"/>
      <c r="F8" s="8">
        <f>IFERROR(D8*E8,0)</f>
        <v/>
      </c>
    </row>
    <row r="9">
      <c r="B9" s="19" t="inlineStr"/>
      <c r="C9" s="7" t="inlineStr">
        <is>
          <t>EBITDA</t>
        </is>
      </c>
      <c r="D9" s="34" t="n"/>
      <c r="E9" s="35" t="n"/>
      <c r="F9" s="8">
        <f>IFERROR(D9*E9,0)</f>
        <v/>
      </c>
    </row>
    <row r="11">
      <c r="B11" s="5" t="inlineStr">
        <is>
          <t>分部企业价值合计</t>
        </is>
      </c>
      <c r="C11" s="26">
        <f>SUM(F7:F9)</f>
        <v/>
      </c>
    </row>
    <row r="12">
      <c r="B12" s="7" t="inlineStr">
        <is>
          <t>减：总部费用（资本化）</t>
        </is>
      </c>
      <c r="C12" s="34" t="n"/>
    </row>
    <row r="13">
      <c r="B13" s="7" t="inlineStr">
        <is>
          <t>减：净负债</t>
        </is>
      </c>
      <c r="C13" s="8">
        <f>参数假设!$C$23-参数假设!$C$22</f>
        <v/>
      </c>
    </row>
    <row r="14">
      <c r="B14" s="5" t="inlineStr">
        <is>
          <t>股权价值</t>
        </is>
      </c>
      <c r="C14" s="6">
        <f>IF(C11=0,"",C11-C12-C13)</f>
        <v/>
      </c>
    </row>
    <row r="15">
      <c r="B15" s="5" t="inlineStr">
        <is>
          <t>每股价值</t>
        </is>
      </c>
      <c r="C15" s="26">
        <f>IFERROR(C14/参数假设!$C$26,"")</f>
        <v/>
      </c>
    </row>
  </sheetData>
  <mergeCells count="1">
    <mergeCell ref="B4:F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2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2" customWidth="1" min="4" max="4"/>
    <col width="20" customWidth="1" min="5" max="5"/>
    <col width="26" customWidth="1" min="6" max="6"/>
  </cols>
  <sheetData>
    <row r="2">
      <c r="B2" s="1" t="inlineStr">
        <is>
          <t>三法融合（权重可改，公式联动）</t>
        </is>
      </c>
    </row>
    <row r="3">
      <c r="B3" s="3" t="inlineStr">
        <is>
          <t>权重是蓝字黄底，改它会改融合结果；各方法的每股价值从对应工作表引用，不手输。</t>
        </is>
      </c>
    </row>
    <row r="5">
      <c r="B5" s="13" t="inlineStr">
        <is>
          <t>方法</t>
        </is>
      </c>
      <c r="C5" s="13" t="inlineStr">
        <is>
          <t>每股价值</t>
        </is>
      </c>
      <c r="D5" s="13" t="inlineStr">
        <is>
          <t>权重</t>
        </is>
      </c>
      <c r="E5" s="13" t="inlineStr">
        <is>
          <t>股权价值</t>
        </is>
      </c>
      <c r="F5" s="13" t="inlineStr">
        <is>
          <t>来源</t>
        </is>
      </c>
    </row>
    <row r="6">
      <c r="B6" s="7" t="inlineStr">
        <is>
          <t>DCF 收益法</t>
        </is>
      </c>
      <c r="C6" s="8">
        <f>N('DCF测算'!$C$30)</f>
        <v/>
      </c>
      <c r="D6" s="36" t="n">
        <v>0.5</v>
      </c>
      <c r="E6" s="8">
        <f>C6*参数假设!$C$26</f>
        <v/>
      </c>
      <c r="F6" s="10" t="inlineStr">
        <is>
          <t>引用「DCF测算」表</t>
        </is>
      </c>
    </row>
    <row r="7">
      <c r="B7" s="7" t="inlineStr">
        <is>
          <t>相对估值（市场法）</t>
        </is>
      </c>
      <c r="C7" s="8">
        <f>N('相对估值'!$C$28)</f>
        <v/>
      </c>
      <c r="D7" s="36" t="n">
        <v>0.5</v>
      </c>
      <c r="E7" s="8">
        <f>C7*参数假设!$C$26</f>
        <v/>
      </c>
      <c r="F7" s="10" t="inlineStr">
        <is>
          <t>引用「相对估值」表</t>
        </is>
      </c>
    </row>
    <row r="8">
      <c r="B8" s="7" t="inlineStr">
        <is>
          <t>分部估值（SOTP）</t>
        </is>
      </c>
      <c r="C8" s="8">
        <f>N('分部估值'!$C$15)</f>
        <v/>
      </c>
      <c r="D8" s="36" t="n">
        <v>0</v>
      </c>
      <c r="E8" s="8">
        <f>C8*参数假设!$C$26</f>
        <v/>
      </c>
      <c r="F8" s="10" t="inlineStr">
        <is>
          <t>引用「分部估值」表</t>
        </is>
      </c>
    </row>
    <row r="10">
      <c r="B10" s="27" t="inlineStr">
        <is>
          <t>权重合计（应为 100%）</t>
        </is>
      </c>
      <c r="C10" s="37">
        <f>SUM(D6:D8)</f>
        <v/>
      </c>
    </row>
    <row r="11" ht="26" customHeight="1">
      <c r="B11" s="3" t="inlineStr">
        <is>
          <t>注：分部估值（SOTP） 的权重为 0，本次未计入融合（多半是该方法的输入还不完整，比如分部数据没填）。把数据补齐后，请手工把这一行权重调起来。</t>
        </is>
      </c>
    </row>
    <row r="12">
      <c r="B12" s="5" t="inlineStr">
        <is>
          <t>融合每股价值</t>
        </is>
      </c>
      <c r="C12" s="6">
        <f>IFERROR(SUMPRODUCT(C6:C8,D6:D8)/SUM(D6:D8),"")</f>
        <v/>
      </c>
    </row>
    <row r="13">
      <c r="B13" s="7" t="inlineStr">
        <is>
          <t>当前股价</t>
        </is>
      </c>
      <c r="C13" s="8">
        <f>参数假设!$C$27</f>
        <v/>
      </c>
    </row>
    <row r="14">
      <c r="B14" s="5" t="inlineStr">
        <is>
          <t>上行 / 下行空间</t>
        </is>
      </c>
      <c r="C14" s="30">
        <f>IFERROR(C12/C13-1,"")</f>
        <v/>
      </c>
    </row>
    <row r="16">
      <c r="B16" s="4" t="inlineStr">
        <is>
          <t>三情景对照（不同假设下的重算结果）</t>
        </is>
      </c>
    </row>
    <row r="17">
      <c r="B17" s="13" t="inlineStr">
        <is>
          <t>情景</t>
        </is>
      </c>
      <c r="C17" s="13" t="inlineStr">
        <is>
          <t>每股价值</t>
        </is>
      </c>
      <c r="D17" s="13" t="inlineStr">
        <is>
          <t>首年增速</t>
        </is>
      </c>
      <c r="E17" s="13" t="inlineStr">
        <is>
          <t>EBIT 利润率</t>
        </is>
      </c>
      <c r="F17" s="13" t="inlineStr">
        <is>
          <t>WACC</t>
        </is>
      </c>
    </row>
    <row r="18">
      <c r="B18" s="7" t="inlineStr">
        <is>
          <t>乐观</t>
        </is>
      </c>
      <c r="C18" s="8" t="n">
        <v>3125.914758186167</v>
      </c>
      <c r="D18" s="9" t="n">
        <v>0.1496910251003316</v>
      </c>
      <c r="E18" s="9" t="n">
        <v>0.7054395163945317</v>
      </c>
      <c r="F18" s="9" t="n">
        <v>0.04876011676096274</v>
      </c>
    </row>
    <row r="19">
      <c r="B19" s="7" t="inlineStr">
        <is>
          <t>基准</t>
        </is>
      </c>
      <c r="C19" s="8" t="n">
        <v>2032.667567181917</v>
      </c>
      <c r="D19" s="9" t="n">
        <v>0.1196910251003316</v>
      </c>
      <c r="E19" s="9" t="n">
        <v>0.6854395163945317</v>
      </c>
      <c r="F19" s="9" t="n">
        <v>0.05876011676096274</v>
      </c>
    </row>
    <row r="20">
      <c r="B20" s="7" t="inlineStr">
        <is>
          <t>悲观</t>
        </is>
      </c>
      <c r="C20" s="8" t="n">
        <v>1484.753944571197</v>
      </c>
      <c r="D20" s="9" t="n">
        <v>0.08969102510033158</v>
      </c>
      <c r="E20" s="9" t="n">
        <v>0.6654395163945317</v>
      </c>
      <c r="F20" s="9" t="n">
        <v>0.06876011676096273</v>
      </c>
    </row>
    <row r="22">
      <c r="B22" s="3" t="inlineStr">
        <is>
          <t>注：情景是在不同假设下的重算结果，改本表权重不会改变它们。</t>
        </is>
      </c>
    </row>
  </sheetData>
  <mergeCells count="1">
    <mergeCell ref="B11:F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H187"/>
  <sheetViews>
    <sheetView showGridLines="0" workbookViewId="0">
      <selection activeCell="A1" sqref="A1"/>
    </sheetView>
  </sheetViews>
  <sheetFormatPr baseColWidth="8" defaultRowHeight="15"/>
  <cols>
    <col width="1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1" t="inlineStr">
        <is>
          <t>敏感性分析：每股价值 = f(WACC, 永续增长率)</t>
        </is>
      </c>
    </row>
    <row r="3">
      <c r="B3" s="3" t="inlineStr">
        <is>
          <t>行 = WACC，列 = 永续增长率。每格引用下方辅助重算区，不是模拟运算表。</t>
        </is>
      </c>
    </row>
    <row r="5">
      <c r="B5" s="13" t="inlineStr">
        <is>
          <t>WACC \ g</t>
        </is>
      </c>
      <c r="C5" s="13" t="inlineStr"/>
      <c r="D5" s="38" t="n">
        <v>0.02</v>
      </c>
      <c r="E5" s="38" t="n">
        <v>0.025</v>
      </c>
      <c r="F5" s="38" t="n">
        <v>0.03</v>
      </c>
      <c r="G5" s="38" t="n">
        <v>0.035</v>
      </c>
      <c r="H5" s="38" t="n">
        <v>0.04</v>
      </c>
    </row>
    <row r="6">
      <c r="B6" s="18" t="n">
        <v>0.04876011676096274</v>
      </c>
      <c r="D6" s="8">
        <f>IFERROR($C$19,"")</f>
        <v/>
      </c>
      <c r="E6" s="8">
        <f>IFERROR($C$26,"")</f>
        <v/>
      </c>
      <c r="F6" s="8">
        <f>IFERROR($C$33,"")</f>
        <v/>
      </c>
      <c r="G6" s="8">
        <f>IFERROR($C$40,"")</f>
        <v/>
      </c>
      <c r="H6" s="8">
        <f>IFERROR($C$47,"")</f>
        <v/>
      </c>
    </row>
    <row r="7">
      <c r="B7" s="18" t="n">
        <v>0.05376011676096274</v>
      </c>
      <c r="D7" s="8">
        <f>IFERROR($C$54,"")</f>
        <v/>
      </c>
      <c r="E7" s="8">
        <f>IFERROR($C$61,"")</f>
        <v/>
      </c>
      <c r="F7" s="8">
        <f>IFERROR($C$68,"")</f>
        <v/>
      </c>
      <c r="G7" s="8">
        <f>IFERROR($C$75,"")</f>
        <v/>
      </c>
      <c r="H7" s="8">
        <f>IFERROR($C$82,"")</f>
        <v/>
      </c>
    </row>
    <row r="8">
      <c r="B8" s="18" t="n">
        <v>0.05876011676096274</v>
      </c>
      <c r="D8" s="8">
        <f>IFERROR($C$89,"")</f>
        <v/>
      </c>
      <c r="E8" s="8">
        <f>IFERROR($C$96,"")</f>
        <v/>
      </c>
      <c r="F8" s="39">
        <f>IFERROR($C$103,"")</f>
        <v/>
      </c>
      <c r="G8" s="8">
        <f>IFERROR($C$110,"")</f>
        <v/>
      </c>
      <c r="H8" s="8">
        <f>IFERROR($C$117,"")</f>
        <v/>
      </c>
    </row>
    <row r="9">
      <c r="B9" s="18" t="n">
        <v>0.06376011676096274</v>
      </c>
      <c r="D9" s="8">
        <f>IFERROR($C$124,"")</f>
        <v/>
      </c>
      <c r="E9" s="8">
        <f>IFERROR($C$131,"")</f>
        <v/>
      </c>
      <c r="F9" s="8">
        <f>IFERROR($C$138,"")</f>
        <v/>
      </c>
      <c r="G9" s="8">
        <f>IFERROR($C$145,"")</f>
        <v/>
      </c>
      <c r="H9" s="8">
        <f>IFERROR($C$152,"")</f>
        <v/>
      </c>
    </row>
    <row r="10">
      <c r="B10" s="18" t="n">
        <v>0.06876011676096273</v>
      </c>
      <c r="D10" s="8">
        <f>IFERROR($C$159,"")</f>
        <v/>
      </c>
      <c r="E10" s="8">
        <f>IFERROR($C$166,"")</f>
        <v/>
      </c>
      <c r="F10" s="8">
        <f>IFERROR($C$173,"")</f>
        <v/>
      </c>
      <c r="G10" s="8">
        <f>IFERROR($C$180,"")</f>
        <v/>
      </c>
      <c r="H10" s="8">
        <f>IFERROR($C$187,"")</f>
        <v/>
      </c>
    </row>
    <row r="12">
      <c r="B12" s="3" t="inlineStr">
        <is>
          <t>金色框是基准情景；数值越陡说明估值越依赖这两个假设。</t>
        </is>
      </c>
    </row>
    <row r="14">
      <c r="B14" s="3" t="inlineStr">
        <is>
          <t>WACC=4.8760%  g=2.0000%</t>
        </is>
      </c>
      <c r="C14" s="3" t="n">
        <v>0.04876011676096274</v>
      </c>
      <c r="D14" s="3" t="n">
        <v>0.02</v>
      </c>
    </row>
    <row r="15">
      <c r="C15">
        <f>参数假设!$C$7+($D$14-参数假设!$C$7)*0/(参数假设!$C$6-1)</f>
        <v/>
      </c>
      <c r="D15">
        <f>参数假设!$C$7+($D$14-参数假设!$C$7)*1/(参数假设!$C$6-1)</f>
        <v/>
      </c>
      <c r="E15">
        <f>参数假设!$C$7+($D$14-参数假设!$C$7)*2/(参数假设!$C$6-1)</f>
        <v/>
      </c>
      <c r="F15">
        <f>参数假设!$C$7+($D$14-参数假设!$C$7)*3/(参数假设!$C$6-1)</f>
        <v/>
      </c>
      <c r="G15">
        <f>参数假设!$C$7+($D$14-参数假设!$C$7)*4/(参数假设!$C$6-1)</f>
        <v/>
      </c>
    </row>
    <row r="16">
      <c r="C16">
        <f>参数假设!$C$21*(1+C15)</f>
        <v/>
      </c>
      <c r="D16">
        <f>C16*(1+D15)</f>
        <v/>
      </c>
      <c r="E16">
        <f>D16*(1+E15)</f>
        <v/>
      </c>
      <c r="F16">
        <f>E16*(1+F15)</f>
        <v/>
      </c>
      <c r="G16">
        <f>F16*(1+G15)</f>
        <v/>
      </c>
    </row>
    <row r="17">
      <c r="C17">
        <f>C16*参数假设!$C$8*(1-参数假设!$C$18)+C16*参数假设!$C$9-C16*参数假设!$C$10-C16*参数假设!$C$11</f>
        <v/>
      </c>
      <c r="D17">
        <f>D16*参数假设!$C$8*(1-参数假设!$C$18)+D16*参数假设!$C$9-D16*参数假设!$C$10-D16*参数假设!$C$11</f>
        <v/>
      </c>
      <c r="E17">
        <f>E16*参数假设!$C$8*(1-参数假设!$C$18)+E16*参数假设!$C$9-E16*参数假设!$C$10-E16*参数假设!$C$11</f>
        <v/>
      </c>
      <c r="F17">
        <f>F16*参数假设!$C$8*(1-参数假设!$C$18)+F16*参数假设!$C$9-F16*参数假设!$C$10-F16*参数假设!$C$11</f>
        <v/>
      </c>
      <c r="G17">
        <f>G16*参数假设!$C$8*(1-参数假设!$C$18)+G16*参数假设!$C$9-G16*参数假设!$C$10-G16*参数假设!$C$11</f>
        <v/>
      </c>
    </row>
    <row r="18">
      <c r="C18">
        <f>C17/(1+$C$14)^(0+0.5)</f>
        <v/>
      </c>
      <c r="D18">
        <f>D17/(1+$C$14)^(1+0.5)</f>
        <v/>
      </c>
      <c r="E18">
        <f>E17/(1+$C$14)^(2+0.5)</f>
        <v/>
      </c>
      <c r="F18">
        <f>F17/(1+$C$14)^(3+0.5)</f>
        <v/>
      </c>
      <c r="G18">
        <f>G17/(1+$C$14)^(4+0.5)</f>
        <v/>
      </c>
    </row>
    <row r="19">
      <c r="C19" s="3">
        <f>IFERROR((SUM(C18:G18)+((G17*(1+$D$14)/($C$14-$D$14)+(G16*参数假设!$C$8+G16*参数假设!$C$9)*参数假设!$C$28)/2)/(1+$C$14)^参数假设!$C$6+参数假设!$C$22-参数假设!$C$23-参数假设!$C$24-参数假设!$C$25)/参数假设!$C$26,"")</f>
        <v/>
      </c>
    </row>
    <row r="21">
      <c r="B21" s="3" t="inlineStr">
        <is>
          <t>WACC=4.8760%  g=2.5000%</t>
        </is>
      </c>
      <c r="C21" s="3" t="n">
        <v>0.04876011676096274</v>
      </c>
      <c r="D21" s="3" t="n">
        <v>0.025</v>
      </c>
    </row>
    <row r="22">
      <c r="C22">
        <f>参数假设!$C$7+($D$21-参数假设!$C$7)*0/(参数假设!$C$6-1)</f>
        <v/>
      </c>
      <c r="D22">
        <f>参数假设!$C$7+($D$21-参数假设!$C$7)*1/(参数假设!$C$6-1)</f>
        <v/>
      </c>
      <c r="E22">
        <f>参数假设!$C$7+($D$21-参数假设!$C$7)*2/(参数假设!$C$6-1)</f>
        <v/>
      </c>
      <c r="F22">
        <f>参数假设!$C$7+($D$21-参数假设!$C$7)*3/(参数假设!$C$6-1)</f>
        <v/>
      </c>
      <c r="G22">
        <f>参数假设!$C$7+($D$21-参数假设!$C$7)*4/(参数假设!$C$6-1)</f>
        <v/>
      </c>
    </row>
    <row r="23">
      <c r="C23">
        <f>参数假设!$C$21*(1+C22)</f>
        <v/>
      </c>
      <c r="D23">
        <f>C23*(1+D22)</f>
        <v/>
      </c>
      <c r="E23">
        <f>D23*(1+E22)</f>
        <v/>
      </c>
      <c r="F23">
        <f>E23*(1+F22)</f>
        <v/>
      </c>
      <c r="G23">
        <f>F23*(1+G22)</f>
        <v/>
      </c>
    </row>
    <row r="24">
      <c r="C24">
        <f>C23*参数假设!$C$8*(1-参数假设!$C$18)+C23*参数假设!$C$9-C23*参数假设!$C$10-C23*参数假设!$C$11</f>
        <v/>
      </c>
      <c r="D24">
        <f>D23*参数假设!$C$8*(1-参数假设!$C$18)+D23*参数假设!$C$9-D23*参数假设!$C$10-D23*参数假设!$C$11</f>
        <v/>
      </c>
      <c r="E24">
        <f>E23*参数假设!$C$8*(1-参数假设!$C$18)+E23*参数假设!$C$9-E23*参数假设!$C$10-E23*参数假设!$C$11</f>
        <v/>
      </c>
      <c r="F24">
        <f>F23*参数假设!$C$8*(1-参数假设!$C$18)+F23*参数假设!$C$9-F23*参数假设!$C$10-F23*参数假设!$C$11</f>
        <v/>
      </c>
      <c r="G24">
        <f>G23*参数假设!$C$8*(1-参数假设!$C$18)+G23*参数假设!$C$9-G23*参数假设!$C$10-G23*参数假设!$C$11</f>
        <v/>
      </c>
    </row>
    <row r="25">
      <c r="C25">
        <f>C24/(1+$C$21)^(0+0.5)</f>
        <v/>
      </c>
      <c r="D25">
        <f>D24/(1+$C$21)^(1+0.5)</f>
        <v/>
      </c>
      <c r="E25">
        <f>E24/(1+$C$21)^(2+0.5)</f>
        <v/>
      </c>
      <c r="F25">
        <f>F24/(1+$C$21)^(3+0.5)</f>
        <v/>
      </c>
      <c r="G25">
        <f>G24/(1+$C$21)^(4+0.5)</f>
        <v/>
      </c>
    </row>
    <row r="26">
      <c r="C26" s="3">
        <f>IFERROR((SUM(C25:G25)+((G24*(1+$D$21)/($C$21-$D$21)+(G23*参数假设!$C$8+G23*参数假设!$C$9)*参数假设!$C$28)/2)/(1+$C$21)^参数假设!$C$6+参数假设!$C$22-参数假设!$C$23-参数假设!$C$24-参数假设!$C$25)/参数假设!$C$26,"")</f>
        <v/>
      </c>
    </row>
    <row r="28">
      <c r="B28" s="3" t="inlineStr">
        <is>
          <t>WACC=4.8760%  g=3.0000%</t>
        </is>
      </c>
      <c r="C28" s="3" t="n">
        <v>0.04876011676096274</v>
      </c>
      <c r="D28" s="3" t="n">
        <v>0.03</v>
      </c>
    </row>
    <row r="29">
      <c r="C29">
        <f>参数假设!$C$7+($D$28-参数假设!$C$7)*0/(参数假设!$C$6-1)</f>
        <v/>
      </c>
      <c r="D29">
        <f>参数假设!$C$7+($D$28-参数假设!$C$7)*1/(参数假设!$C$6-1)</f>
        <v/>
      </c>
      <c r="E29">
        <f>参数假设!$C$7+($D$28-参数假设!$C$7)*2/(参数假设!$C$6-1)</f>
        <v/>
      </c>
      <c r="F29">
        <f>参数假设!$C$7+($D$28-参数假设!$C$7)*3/(参数假设!$C$6-1)</f>
        <v/>
      </c>
      <c r="G29">
        <f>参数假设!$C$7+($D$28-参数假设!$C$7)*4/(参数假设!$C$6-1)</f>
        <v/>
      </c>
    </row>
    <row r="30">
      <c r="C30">
        <f>参数假设!$C$21*(1+C29)</f>
        <v/>
      </c>
      <c r="D30">
        <f>C30*(1+D29)</f>
        <v/>
      </c>
      <c r="E30">
        <f>D30*(1+E29)</f>
        <v/>
      </c>
      <c r="F30">
        <f>E30*(1+F29)</f>
        <v/>
      </c>
      <c r="G30">
        <f>F30*(1+G29)</f>
        <v/>
      </c>
    </row>
    <row r="31">
      <c r="C31">
        <f>C30*参数假设!$C$8*(1-参数假设!$C$18)+C30*参数假设!$C$9-C30*参数假设!$C$10-C30*参数假设!$C$11</f>
        <v/>
      </c>
      <c r="D31">
        <f>D30*参数假设!$C$8*(1-参数假设!$C$18)+D30*参数假设!$C$9-D30*参数假设!$C$10-D30*参数假设!$C$11</f>
        <v/>
      </c>
      <c r="E31">
        <f>E30*参数假设!$C$8*(1-参数假设!$C$18)+E30*参数假设!$C$9-E30*参数假设!$C$10-E30*参数假设!$C$11</f>
        <v/>
      </c>
      <c r="F31">
        <f>F30*参数假设!$C$8*(1-参数假设!$C$18)+F30*参数假设!$C$9-F30*参数假设!$C$10-F30*参数假设!$C$11</f>
        <v/>
      </c>
      <c r="G31">
        <f>G30*参数假设!$C$8*(1-参数假设!$C$18)+G30*参数假设!$C$9-G30*参数假设!$C$10-G30*参数假设!$C$11</f>
        <v/>
      </c>
    </row>
    <row r="32">
      <c r="C32">
        <f>C31/(1+$C$28)^(0+0.5)</f>
        <v/>
      </c>
      <c r="D32">
        <f>D31/(1+$C$28)^(1+0.5)</f>
        <v/>
      </c>
      <c r="E32">
        <f>E31/(1+$C$28)^(2+0.5)</f>
        <v/>
      </c>
      <c r="F32">
        <f>F31/(1+$C$28)^(3+0.5)</f>
        <v/>
      </c>
      <c r="G32">
        <f>G31/(1+$C$28)^(4+0.5)</f>
        <v/>
      </c>
    </row>
    <row r="33">
      <c r="C33" s="3">
        <f>IFERROR((SUM(C32:G32)+((G31*(1+$D$28)/($C$28-$D$28)+(G30*参数假设!$C$8+G30*参数假设!$C$9)*参数假设!$C$28)/2)/(1+$C$28)^参数假设!$C$6+参数假设!$C$22-参数假设!$C$23-参数假设!$C$24-参数假设!$C$25)/参数假设!$C$26,"")</f>
        <v/>
      </c>
    </row>
    <row r="35">
      <c r="B35" s="3" t="inlineStr">
        <is>
          <t>WACC=4.8760%  g=3.5000%</t>
        </is>
      </c>
      <c r="C35" s="3" t="n">
        <v>0.04876011676096274</v>
      </c>
      <c r="D35" s="3" t="n">
        <v>0.035</v>
      </c>
    </row>
    <row r="36">
      <c r="C36">
        <f>参数假设!$C$7+($D$35-参数假设!$C$7)*0/(参数假设!$C$6-1)</f>
        <v/>
      </c>
      <c r="D36">
        <f>参数假设!$C$7+($D$35-参数假设!$C$7)*1/(参数假设!$C$6-1)</f>
        <v/>
      </c>
      <c r="E36">
        <f>参数假设!$C$7+($D$35-参数假设!$C$7)*2/(参数假设!$C$6-1)</f>
        <v/>
      </c>
      <c r="F36">
        <f>参数假设!$C$7+($D$35-参数假设!$C$7)*3/(参数假设!$C$6-1)</f>
        <v/>
      </c>
      <c r="G36">
        <f>参数假设!$C$7+($D$35-参数假设!$C$7)*4/(参数假设!$C$6-1)</f>
        <v/>
      </c>
    </row>
    <row r="37">
      <c r="C37">
        <f>参数假设!$C$21*(1+C36)</f>
        <v/>
      </c>
      <c r="D37">
        <f>C37*(1+D36)</f>
        <v/>
      </c>
      <c r="E37">
        <f>D37*(1+E36)</f>
        <v/>
      </c>
      <c r="F37">
        <f>E37*(1+F36)</f>
        <v/>
      </c>
      <c r="G37">
        <f>F37*(1+G36)</f>
        <v/>
      </c>
    </row>
    <row r="38">
      <c r="C38">
        <f>C37*参数假设!$C$8*(1-参数假设!$C$18)+C37*参数假设!$C$9-C37*参数假设!$C$10-C37*参数假设!$C$11</f>
        <v/>
      </c>
      <c r="D38">
        <f>D37*参数假设!$C$8*(1-参数假设!$C$18)+D37*参数假设!$C$9-D37*参数假设!$C$10-D37*参数假设!$C$11</f>
        <v/>
      </c>
      <c r="E38">
        <f>E37*参数假设!$C$8*(1-参数假设!$C$18)+E37*参数假设!$C$9-E37*参数假设!$C$10-E37*参数假设!$C$11</f>
        <v/>
      </c>
      <c r="F38">
        <f>F37*参数假设!$C$8*(1-参数假设!$C$18)+F37*参数假设!$C$9-F37*参数假设!$C$10-F37*参数假设!$C$11</f>
        <v/>
      </c>
      <c r="G38">
        <f>G37*参数假设!$C$8*(1-参数假设!$C$18)+G37*参数假设!$C$9-G37*参数假设!$C$10-G37*参数假设!$C$11</f>
        <v/>
      </c>
    </row>
    <row r="39">
      <c r="C39">
        <f>C38/(1+$C$35)^(0+0.5)</f>
        <v/>
      </c>
      <c r="D39">
        <f>D38/(1+$C$35)^(1+0.5)</f>
        <v/>
      </c>
      <c r="E39">
        <f>E38/(1+$C$35)^(2+0.5)</f>
        <v/>
      </c>
      <c r="F39">
        <f>F38/(1+$C$35)^(3+0.5)</f>
        <v/>
      </c>
      <c r="G39">
        <f>G38/(1+$C$35)^(4+0.5)</f>
        <v/>
      </c>
    </row>
    <row r="40">
      <c r="C40" s="3">
        <f>IFERROR((SUM(C39:G39)+((G38*(1+$D$35)/($C$35-$D$35)+(G37*参数假设!$C$8+G37*参数假设!$C$9)*参数假设!$C$28)/2)/(1+$C$35)^参数假设!$C$6+参数假设!$C$22-参数假设!$C$23-参数假设!$C$24-参数假设!$C$25)/参数假设!$C$26,"")</f>
        <v/>
      </c>
    </row>
    <row r="42">
      <c r="B42" s="3" t="inlineStr">
        <is>
          <t>WACC=4.8760%  g=4.0000%</t>
        </is>
      </c>
      <c r="C42" s="3" t="n">
        <v>0.04876011676096274</v>
      </c>
      <c r="D42" s="3" t="n">
        <v>0.04</v>
      </c>
    </row>
    <row r="43">
      <c r="C43">
        <f>参数假设!$C$7+($D$42-参数假设!$C$7)*0/(参数假设!$C$6-1)</f>
        <v/>
      </c>
      <c r="D43">
        <f>参数假设!$C$7+($D$42-参数假设!$C$7)*1/(参数假设!$C$6-1)</f>
        <v/>
      </c>
      <c r="E43">
        <f>参数假设!$C$7+($D$42-参数假设!$C$7)*2/(参数假设!$C$6-1)</f>
        <v/>
      </c>
      <c r="F43">
        <f>参数假设!$C$7+($D$42-参数假设!$C$7)*3/(参数假设!$C$6-1)</f>
        <v/>
      </c>
      <c r="G43">
        <f>参数假设!$C$7+($D$42-参数假设!$C$7)*4/(参数假设!$C$6-1)</f>
        <v/>
      </c>
    </row>
    <row r="44">
      <c r="C44">
        <f>参数假设!$C$21*(1+C43)</f>
        <v/>
      </c>
      <c r="D44">
        <f>C44*(1+D43)</f>
        <v/>
      </c>
      <c r="E44">
        <f>D44*(1+E43)</f>
        <v/>
      </c>
      <c r="F44">
        <f>E44*(1+F43)</f>
        <v/>
      </c>
      <c r="G44">
        <f>F44*(1+G43)</f>
        <v/>
      </c>
    </row>
    <row r="45">
      <c r="C45">
        <f>C44*参数假设!$C$8*(1-参数假设!$C$18)+C44*参数假设!$C$9-C44*参数假设!$C$10-C44*参数假设!$C$11</f>
        <v/>
      </c>
      <c r="D45">
        <f>D44*参数假设!$C$8*(1-参数假设!$C$18)+D44*参数假设!$C$9-D44*参数假设!$C$10-D44*参数假设!$C$11</f>
        <v/>
      </c>
      <c r="E45">
        <f>E44*参数假设!$C$8*(1-参数假设!$C$18)+E44*参数假设!$C$9-E44*参数假设!$C$10-E44*参数假设!$C$11</f>
        <v/>
      </c>
      <c r="F45">
        <f>F44*参数假设!$C$8*(1-参数假设!$C$18)+F44*参数假设!$C$9-F44*参数假设!$C$10-F44*参数假设!$C$11</f>
        <v/>
      </c>
      <c r="G45">
        <f>G44*参数假设!$C$8*(1-参数假设!$C$18)+G44*参数假设!$C$9-G44*参数假设!$C$10-G44*参数假设!$C$11</f>
        <v/>
      </c>
    </row>
    <row r="46">
      <c r="C46">
        <f>C45/(1+$C$42)^(0+0.5)</f>
        <v/>
      </c>
      <c r="D46">
        <f>D45/(1+$C$42)^(1+0.5)</f>
        <v/>
      </c>
      <c r="E46">
        <f>E45/(1+$C$42)^(2+0.5)</f>
        <v/>
      </c>
      <c r="F46">
        <f>F45/(1+$C$42)^(3+0.5)</f>
        <v/>
      </c>
      <c r="G46">
        <f>G45/(1+$C$42)^(4+0.5)</f>
        <v/>
      </c>
    </row>
    <row r="47">
      <c r="C47" s="3">
        <f>IFERROR((SUM(C46:G46)+((G45*(1+$D$42)/($C$42-$D$42)+(G44*参数假设!$C$8+G44*参数假设!$C$9)*参数假设!$C$28)/2)/(1+$C$42)^参数假设!$C$6+参数假设!$C$22-参数假设!$C$23-参数假设!$C$24-参数假设!$C$25)/参数假设!$C$26,"")</f>
        <v/>
      </c>
    </row>
    <row r="49">
      <c r="B49" s="3" t="inlineStr">
        <is>
          <t>WACC=5.3760%  g=2.0000%</t>
        </is>
      </c>
      <c r="C49" s="3" t="n">
        <v>0.05376011676096274</v>
      </c>
      <c r="D49" s="3" t="n">
        <v>0.02</v>
      </c>
    </row>
    <row r="50">
      <c r="C50">
        <f>参数假设!$C$7+($D$49-参数假设!$C$7)*0/(参数假设!$C$6-1)</f>
        <v/>
      </c>
      <c r="D50">
        <f>参数假设!$C$7+($D$49-参数假设!$C$7)*1/(参数假设!$C$6-1)</f>
        <v/>
      </c>
      <c r="E50">
        <f>参数假设!$C$7+($D$49-参数假设!$C$7)*2/(参数假设!$C$6-1)</f>
        <v/>
      </c>
      <c r="F50">
        <f>参数假设!$C$7+($D$49-参数假设!$C$7)*3/(参数假设!$C$6-1)</f>
        <v/>
      </c>
      <c r="G50">
        <f>参数假设!$C$7+($D$49-参数假设!$C$7)*4/(参数假设!$C$6-1)</f>
        <v/>
      </c>
    </row>
    <row r="51">
      <c r="C51">
        <f>参数假设!$C$21*(1+C50)</f>
        <v/>
      </c>
      <c r="D51">
        <f>C51*(1+D50)</f>
        <v/>
      </c>
      <c r="E51">
        <f>D51*(1+E50)</f>
        <v/>
      </c>
      <c r="F51">
        <f>E51*(1+F50)</f>
        <v/>
      </c>
      <c r="G51">
        <f>F51*(1+G50)</f>
        <v/>
      </c>
    </row>
    <row r="52">
      <c r="C52">
        <f>C51*参数假设!$C$8*(1-参数假设!$C$18)+C51*参数假设!$C$9-C51*参数假设!$C$10-C51*参数假设!$C$11</f>
        <v/>
      </c>
      <c r="D52">
        <f>D51*参数假设!$C$8*(1-参数假设!$C$18)+D51*参数假设!$C$9-D51*参数假设!$C$10-D51*参数假设!$C$11</f>
        <v/>
      </c>
      <c r="E52">
        <f>E51*参数假设!$C$8*(1-参数假设!$C$18)+E51*参数假设!$C$9-E51*参数假设!$C$10-E51*参数假设!$C$11</f>
        <v/>
      </c>
      <c r="F52">
        <f>F51*参数假设!$C$8*(1-参数假设!$C$18)+F51*参数假设!$C$9-F51*参数假设!$C$10-F51*参数假设!$C$11</f>
        <v/>
      </c>
      <c r="G52">
        <f>G51*参数假设!$C$8*(1-参数假设!$C$18)+G51*参数假设!$C$9-G51*参数假设!$C$10-G51*参数假设!$C$11</f>
        <v/>
      </c>
    </row>
    <row r="53">
      <c r="C53">
        <f>C52/(1+$C$49)^(0+0.5)</f>
        <v/>
      </c>
      <c r="D53">
        <f>D52/(1+$C$49)^(1+0.5)</f>
        <v/>
      </c>
      <c r="E53">
        <f>E52/(1+$C$49)^(2+0.5)</f>
        <v/>
      </c>
      <c r="F53">
        <f>F52/(1+$C$49)^(3+0.5)</f>
        <v/>
      </c>
      <c r="G53">
        <f>G52/(1+$C$49)^(4+0.5)</f>
        <v/>
      </c>
    </row>
    <row r="54">
      <c r="C54" s="3">
        <f>IFERROR((SUM(C53:G53)+((G52*(1+$D$49)/($C$49-$D$49)+(G51*参数假设!$C$8+G51*参数假设!$C$9)*参数假设!$C$28)/2)/(1+$C$49)^参数假设!$C$6+参数假设!$C$22-参数假设!$C$23-参数假设!$C$24-参数假设!$C$25)/参数假设!$C$26,"")</f>
        <v/>
      </c>
    </row>
    <row r="56">
      <c r="B56" s="3" t="inlineStr">
        <is>
          <t>WACC=5.3760%  g=2.5000%</t>
        </is>
      </c>
      <c r="C56" s="3" t="n">
        <v>0.05376011676096274</v>
      </c>
      <c r="D56" s="3" t="n">
        <v>0.025</v>
      </c>
    </row>
    <row r="57">
      <c r="C57">
        <f>参数假设!$C$7+($D$56-参数假设!$C$7)*0/(参数假设!$C$6-1)</f>
        <v/>
      </c>
      <c r="D57">
        <f>参数假设!$C$7+($D$56-参数假设!$C$7)*1/(参数假设!$C$6-1)</f>
        <v/>
      </c>
      <c r="E57">
        <f>参数假设!$C$7+($D$56-参数假设!$C$7)*2/(参数假设!$C$6-1)</f>
        <v/>
      </c>
      <c r="F57">
        <f>参数假设!$C$7+($D$56-参数假设!$C$7)*3/(参数假设!$C$6-1)</f>
        <v/>
      </c>
      <c r="G57">
        <f>参数假设!$C$7+($D$56-参数假设!$C$7)*4/(参数假设!$C$6-1)</f>
        <v/>
      </c>
    </row>
    <row r="58">
      <c r="C58">
        <f>参数假设!$C$21*(1+C57)</f>
        <v/>
      </c>
      <c r="D58">
        <f>C58*(1+D57)</f>
        <v/>
      </c>
      <c r="E58">
        <f>D58*(1+E57)</f>
        <v/>
      </c>
      <c r="F58">
        <f>E58*(1+F57)</f>
        <v/>
      </c>
      <c r="G58">
        <f>F58*(1+G57)</f>
        <v/>
      </c>
    </row>
    <row r="59">
      <c r="C59">
        <f>C58*参数假设!$C$8*(1-参数假设!$C$18)+C58*参数假设!$C$9-C58*参数假设!$C$10-C58*参数假设!$C$11</f>
        <v/>
      </c>
      <c r="D59">
        <f>D58*参数假设!$C$8*(1-参数假设!$C$18)+D58*参数假设!$C$9-D58*参数假设!$C$10-D58*参数假设!$C$11</f>
        <v/>
      </c>
      <c r="E59">
        <f>E58*参数假设!$C$8*(1-参数假设!$C$18)+E58*参数假设!$C$9-E58*参数假设!$C$10-E58*参数假设!$C$11</f>
        <v/>
      </c>
      <c r="F59">
        <f>F58*参数假设!$C$8*(1-参数假设!$C$18)+F58*参数假设!$C$9-F58*参数假设!$C$10-F58*参数假设!$C$11</f>
        <v/>
      </c>
      <c r="G59">
        <f>G58*参数假设!$C$8*(1-参数假设!$C$18)+G58*参数假设!$C$9-G58*参数假设!$C$10-G58*参数假设!$C$11</f>
        <v/>
      </c>
    </row>
    <row r="60">
      <c r="C60">
        <f>C59/(1+$C$56)^(0+0.5)</f>
        <v/>
      </c>
      <c r="D60">
        <f>D59/(1+$C$56)^(1+0.5)</f>
        <v/>
      </c>
      <c r="E60">
        <f>E59/(1+$C$56)^(2+0.5)</f>
        <v/>
      </c>
      <c r="F60">
        <f>F59/(1+$C$56)^(3+0.5)</f>
        <v/>
      </c>
      <c r="G60">
        <f>G59/(1+$C$56)^(4+0.5)</f>
        <v/>
      </c>
    </row>
    <row r="61">
      <c r="C61" s="3">
        <f>IFERROR((SUM(C60:G60)+((G59*(1+$D$56)/($C$56-$D$56)+(G58*参数假设!$C$8+G58*参数假设!$C$9)*参数假设!$C$28)/2)/(1+$C$56)^参数假设!$C$6+参数假设!$C$22-参数假设!$C$23-参数假设!$C$24-参数假设!$C$25)/参数假设!$C$26,"")</f>
        <v/>
      </c>
    </row>
    <row r="63">
      <c r="B63" s="3" t="inlineStr">
        <is>
          <t>WACC=5.3760%  g=3.0000%</t>
        </is>
      </c>
      <c r="C63" s="3" t="n">
        <v>0.05376011676096274</v>
      </c>
      <c r="D63" s="3" t="n">
        <v>0.03</v>
      </c>
    </row>
    <row r="64">
      <c r="C64">
        <f>参数假设!$C$7+($D$63-参数假设!$C$7)*0/(参数假设!$C$6-1)</f>
        <v/>
      </c>
      <c r="D64">
        <f>参数假设!$C$7+($D$63-参数假设!$C$7)*1/(参数假设!$C$6-1)</f>
        <v/>
      </c>
      <c r="E64">
        <f>参数假设!$C$7+($D$63-参数假设!$C$7)*2/(参数假设!$C$6-1)</f>
        <v/>
      </c>
      <c r="F64">
        <f>参数假设!$C$7+($D$63-参数假设!$C$7)*3/(参数假设!$C$6-1)</f>
        <v/>
      </c>
      <c r="G64">
        <f>参数假设!$C$7+($D$63-参数假设!$C$7)*4/(参数假设!$C$6-1)</f>
        <v/>
      </c>
    </row>
    <row r="65">
      <c r="C65">
        <f>参数假设!$C$21*(1+C64)</f>
        <v/>
      </c>
      <c r="D65">
        <f>C65*(1+D64)</f>
        <v/>
      </c>
      <c r="E65">
        <f>D65*(1+E64)</f>
        <v/>
      </c>
      <c r="F65">
        <f>E65*(1+F64)</f>
        <v/>
      </c>
      <c r="G65">
        <f>F65*(1+G64)</f>
        <v/>
      </c>
    </row>
    <row r="66">
      <c r="C66">
        <f>C65*参数假设!$C$8*(1-参数假设!$C$18)+C65*参数假设!$C$9-C65*参数假设!$C$10-C65*参数假设!$C$11</f>
        <v/>
      </c>
      <c r="D66">
        <f>D65*参数假设!$C$8*(1-参数假设!$C$18)+D65*参数假设!$C$9-D65*参数假设!$C$10-D65*参数假设!$C$11</f>
        <v/>
      </c>
      <c r="E66">
        <f>E65*参数假设!$C$8*(1-参数假设!$C$18)+E65*参数假设!$C$9-E65*参数假设!$C$10-E65*参数假设!$C$11</f>
        <v/>
      </c>
      <c r="F66">
        <f>F65*参数假设!$C$8*(1-参数假设!$C$18)+F65*参数假设!$C$9-F65*参数假设!$C$10-F65*参数假设!$C$11</f>
        <v/>
      </c>
      <c r="G66">
        <f>G65*参数假设!$C$8*(1-参数假设!$C$18)+G65*参数假设!$C$9-G65*参数假设!$C$10-G65*参数假设!$C$11</f>
        <v/>
      </c>
    </row>
    <row r="67">
      <c r="C67">
        <f>C66/(1+$C$63)^(0+0.5)</f>
        <v/>
      </c>
      <c r="D67">
        <f>D66/(1+$C$63)^(1+0.5)</f>
        <v/>
      </c>
      <c r="E67">
        <f>E66/(1+$C$63)^(2+0.5)</f>
        <v/>
      </c>
      <c r="F67">
        <f>F66/(1+$C$63)^(3+0.5)</f>
        <v/>
      </c>
      <c r="G67">
        <f>G66/(1+$C$63)^(4+0.5)</f>
        <v/>
      </c>
    </row>
    <row r="68">
      <c r="C68" s="3">
        <f>IFERROR((SUM(C67:G67)+((G66*(1+$D$63)/($C$63-$D$63)+(G65*参数假设!$C$8+G65*参数假设!$C$9)*参数假设!$C$28)/2)/(1+$C$63)^参数假设!$C$6+参数假设!$C$22-参数假设!$C$23-参数假设!$C$24-参数假设!$C$25)/参数假设!$C$26,"")</f>
        <v/>
      </c>
    </row>
    <row r="70">
      <c r="B70" s="3" t="inlineStr">
        <is>
          <t>WACC=5.3760%  g=3.5000%</t>
        </is>
      </c>
      <c r="C70" s="3" t="n">
        <v>0.05376011676096274</v>
      </c>
      <c r="D70" s="3" t="n">
        <v>0.035</v>
      </c>
    </row>
    <row r="71">
      <c r="C71">
        <f>参数假设!$C$7+($D$70-参数假设!$C$7)*0/(参数假设!$C$6-1)</f>
        <v/>
      </c>
      <c r="D71">
        <f>参数假设!$C$7+($D$70-参数假设!$C$7)*1/(参数假设!$C$6-1)</f>
        <v/>
      </c>
      <c r="E71">
        <f>参数假设!$C$7+($D$70-参数假设!$C$7)*2/(参数假设!$C$6-1)</f>
        <v/>
      </c>
      <c r="F71">
        <f>参数假设!$C$7+($D$70-参数假设!$C$7)*3/(参数假设!$C$6-1)</f>
        <v/>
      </c>
      <c r="G71">
        <f>参数假设!$C$7+($D$70-参数假设!$C$7)*4/(参数假设!$C$6-1)</f>
        <v/>
      </c>
    </row>
    <row r="72">
      <c r="C72">
        <f>参数假设!$C$21*(1+C71)</f>
        <v/>
      </c>
      <c r="D72">
        <f>C72*(1+D71)</f>
        <v/>
      </c>
      <c r="E72">
        <f>D72*(1+E71)</f>
        <v/>
      </c>
      <c r="F72">
        <f>E72*(1+F71)</f>
        <v/>
      </c>
      <c r="G72">
        <f>F72*(1+G71)</f>
        <v/>
      </c>
    </row>
    <row r="73">
      <c r="C73">
        <f>C72*参数假设!$C$8*(1-参数假设!$C$18)+C72*参数假设!$C$9-C72*参数假设!$C$10-C72*参数假设!$C$11</f>
        <v/>
      </c>
      <c r="D73">
        <f>D72*参数假设!$C$8*(1-参数假设!$C$18)+D72*参数假设!$C$9-D72*参数假设!$C$10-D72*参数假设!$C$11</f>
        <v/>
      </c>
      <c r="E73">
        <f>E72*参数假设!$C$8*(1-参数假设!$C$18)+E72*参数假设!$C$9-E72*参数假设!$C$10-E72*参数假设!$C$11</f>
        <v/>
      </c>
      <c r="F73">
        <f>F72*参数假设!$C$8*(1-参数假设!$C$18)+F72*参数假设!$C$9-F72*参数假设!$C$10-F72*参数假设!$C$11</f>
        <v/>
      </c>
      <c r="G73">
        <f>G72*参数假设!$C$8*(1-参数假设!$C$18)+G72*参数假设!$C$9-G72*参数假设!$C$10-G72*参数假设!$C$11</f>
        <v/>
      </c>
    </row>
    <row r="74">
      <c r="C74">
        <f>C73/(1+$C$70)^(0+0.5)</f>
        <v/>
      </c>
      <c r="D74">
        <f>D73/(1+$C$70)^(1+0.5)</f>
        <v/>
      </c>
      <c r="E74">
        <f>E73/(1+$C$70)^(2+0.5)</f>
        <v/>
      </c>
      <c r="F74">
        <f>F73/(1+$C$70)^(3+0.5)</f>
        <v/>
      </c>
      <c r="G74">
        <f>G73/(1+$C$70)^(4+0.5)</f>
        <v/>
      </c>
    </row>
    <row r="75">
      <c r="C75" s="3">
        <f>IFERROR((SUM(C74:G74)+((G73*(1+$D$70)/($C$70-$D$70)+(G72*参数假设!$C$8+G72*参数假设!$C$9)*参数假设!$C$28)/2)/(1+$C$70)^参数假设!$C$6+参数假设!$C$22-参数假设!$C$23-参数假设!$C$24-参数假设!$C$25)/参数假设!$C$26,"")</f>
        <v/>
      </c>
    </row>
    <row r="77">
      <c r="B77" s="3" t="inlineStr">
        <is>
          <t>WACC=5.3760%  g=4.0000%</t>
        </is>
      </c>
      <c r="C77" s="3" t="n">
        <v>0.05376011676096274</v>
      </c>
      <c r="D77" s="3" t="n">
        <v>0.04</v>
      </c>
    </row>
    <row r="78">
      <c r="C78">
        <f>参数假设!$C$7+($D$77-参数假设!$C$7)*0/(参数假设!$C$6-1)</f>
        <v/>
      </c>
      <c r="D78">
        <f>参数假设!$C$7+($D$77-参数假设!$C$7)*1/(参数假设!$C$6-1)</f>
        <v/>
      </c>
      <c r="E78">
        <f>参数假设!$C$7+($D$77-参数假设!$C$7)*2/(参数假设!$C$6-1)</f>
        <v/>
      </c>
      <c r="F78">
        <f>参数假设!$C$7+($D$77-参数假设!$C$7)*3/(参数假设!$C$6-1)</f>
        <v/>
      </c>
      <c r="G78">
        <f>参数假设!$C$7+($D$77-参数假设!$C$7)*4/(参数假设!$C$6-1)</f>
        <v/>
      </c>
    </row>
    <row r="79">
      <c r="C79">
        <f>参数假设!$C$21*(1+C78)</f>
        <v/>
      </c>
      <c r="D79">
        <f>C79*(1+D78)</f>
        <v/>
      </c>
      <c r="E79">
        <f>D79*(1+E78)</f>
        <v/>
      </c>
      <c r="F79">
        <f>E79*(1+F78)</f>
        <v/>
      </c>
      <c r="G79">
        <f>F79*(1+G78)</f>
        <v/>
      </c>
    </row>
    <row r="80">
      <c r="C80">
        <f>C79*参数假设!$C$8*(1-参数假设!$C$18)+C79*参数假设!$C$9-C79*参数假设!$C$10-C79*参数假设!$C$11</f>
        <v/>
      </c>
      <c r="D80">
        <f>D79*参数假设!$C$8*(1-参数假设!$C$18)+D79*参数假设!$C$9-D79*参数假设!$C$10-D79*参数假设!$C$11</f>
        <v/>
      </c>
      <c r="E80">
        <f>E79*参数假设!$C$8*(1-参数假设!$C$18)+E79*参数假设!$C$9-E79*参数假设!$C$10-E79*参数假设!$C$11</f>
        <v/>
      </c>
      <c r="F80">
        <f>F79*参数假设!$C$8*(1-参数假设!$C$18)+F79*参数假设!$C$9-F79*参数假设!$C$10-F79*参数假设!$C$11</f>
        <v/>
      </c>
      <c r="G80">
        <f>G79*参数假设!$C$8*(1-参数假设!$C$18)+G79*参数假设!$C$9-G79*参数假设!$C$10-G79*参数假设!$C$11</f>
        <v/>
      </c>
    </row>
    <row r="81">
      <c r="C81">
        <f>C80/(1+$C$77)^(0+0.5)</f>
        <v/>
      </c>
      <c r="D81">
        <f>D80/(1+$C$77)^(1+0.5)</f>
        <v/>
      </c>
      <c r="E81">
        <f>E80/(1+$C$77)^(2+0.5)</f>
        <v/>
      </c>
      <c r="F81">
        <f>F80/(1+$C$77)^(3+0.5)</f>
        <v/>
      </c>
      <c r="G81">
        <f>G80/(1+$C$77)^(4+0.5)</f>
        <v/>
      </c>
    </row>
    <row r="82">
      <c r="C82" s="3">
        <f>IFERROR((SUM(C81:G81)+((G80*(1+$D$77)/($C$77-$D$77)+(G79*参数假设!$C$8+G79*参数假设!$C$9)*参数假设!$C$28)/2)/(1+$C$77)^参数假设!$C$6+参数假设!$C$22-参数假设!$C$23-参数假设!$C$24-参数假设!$C$25)/参数假设!$C$26,"")</f>
        <v/>
      </c>
    </row>
    <row r="84">
      <c r="B84" s="3" t="inlineStr">
        <is>
          <t>WACC=5.8760%  g=2.0000%</t>
        </is>
      </c>
      <c r="C84" s="3" t="n">
        <v>0.05876011676096274</v>
      </c>
      <c r="D84" s="3" t="n">
        <v>0.02</v>
      </c>
    </row>
    <row r="85">
      <c r="C85">
        <f>参数假设!$C$7+($D$84-参数假设!$C$7)*0/(参数假设!$C$6-1)</f>
        <v/>
      </c>
      <c r="D85">
        <f>参数假设!$C$7+($D$84-参数假设!$C$7)*1/(参数假设!$C$6-1)</f>
        <v/>
      </c>
      <c r="E85">
        <f>参数假设!$C$7+($D$84-参数假设!$C$7)*2/(参数假设!$C$6-1)</f>
        <v/>
      </c>
      <c r="F85">
        <f>参数假设!$C$7+($D$84-参数假设!$C$7)*3/(参数假设!$C$6-1)</f>
        <v/>
      </c>
      <c r="G85">
        <f>参数假设!$C$7+($D$84-参数假设!$C$7)*4/(参数假设!$C$6-1)</f>
        <v/>
      </c>
    </row>
    <row r="86">
      <c r="C86">
        <f>参数假设!$C$21*(1+C85)</f>
        <v/>
      </c>
      <c r="D86">
        <f>C86*(1+D85)</f>
        <v/>
      </c>
      <c r="E86">
        <f>D86*(1+E85)</f>
        <v/>
      </c>
      <c r="F86">
        <f>E86*(1+F85)</f>
        <v/>
      </c>
      <c r="G86">
        <f>F86*(1+G85)</f>
        <v/>
      </c>
    </row>
    <row r="87">
      <c r="C87">
        <f>C86*参数假设!$C$8*(1-参数假设!$C$18)+C86*参数假设!$C$9-C86*参数假设!$C$10-C86*参数假设!$C$11</f>
        <v/>
      </c>
      <c r="D87">
        <f>D86*参数假设!$C$8*(1-参数假设!$C$18)+D86*参数假设!$C$9-D86*参数假设!$C$10-D86*参数假设!$C$11</f>
        <v/>
      </c>
      <c r="E87">
        <f>E86*参数假设!$C$8*(1-参数假设!$C$18)+E86*参数假设!$C$9-E86*参数假设!$C$10-E86*参数假设!$C$11</f>
        <v/>
      </c>
      <c r="F87">
        <f>F86*参数假设!$C$8*(1-参数假设!$C$18)+F86*参数假设!$C$9-F86*参数假设!$C$10-F86*参数假设!$C$11</f>
        <v/>
      </c>
      <c r="G87">
        <f>G86*参数假设!$C$8*(1-参数假设!$C$18)+G86*参数假设!$C$9-G86*参数假设!$C$10-G86*参数假设!$C$11</f>
        <v/>
      </c>
    </row>
    <row r="88">
      <c r="C88">
        <f>C87/(1+$C$84)^(0+0.5)</f>
        <v/>
      </c>
      <c r="D88">
        <f>D87/(1+$C$84)^(1+0.5)</f>
        <v/>
      </c>
      <c r="E88">
        <f>E87/(1+$C$84)^(2+0.5)</f>
        <v/>
      </c>
      <c r="F88">
        <f>F87/(1+$C$84)^(3+0.5)</f>
        <v/>
      </c>
      <c r="G88">
        <f>G87/(1+$C$84)^(4+0.5)</f>
        <v/>
      </c>
    </row>
    <row r="89">
      <c r="C89" s="3">
        <f>IFERROR((SUM(C88:G88)+((G87*(1+$D$84)/($C$84-$D$84)+(G86*参数假设!$C$8+G86*参数假设!$C$9)*参数假设!$C$28)/2)/(1+$C$84)^参数假设!$C$6+参数假设!$C$22-参数假设!$C$23-参数假设!$C$24-参数假设!$C$25)/参数假设!$C$26,"")</f>
        <v/>
      </c>
    </row>
    <row r="91">
      <c r="B91" s="3" t="inlineStr">
        <is>
          <t>WACC=5.8760%  g=2.5000%</t>
        </is>
      </c>
      <c r="C91" s="3" t="n">
        <v>0.05876011676096274</v>
      </c>
      <c r="D91" s="3" t="n">
        <v>0.025</v>
      </c>
    </row>
    <row r="92">
      <c r="C92">
        <f>参数假设!$C$7+($D$91-参数假设!$C$7)*0/(参数假设!$C$6-1)</f>
        <v/>
      </c>
      <c r="D92">
        <f>参数假设!$C$7+($D$91-参数假设!$C$7)*1/(参数假设!$C$6-1)</f>
        <v/>
      </c>
      <c r="E92">
        <f>参数假设!$C$7+($D$91-参数假设!$C$7)*2/(参数假设!$C$6-1)</f>
        <v/>
      </c>
      <c r="F92">
        <f>参数假设!$C$7+($D$91-参数假设!$C$7)*3/(参数假设!$C$6-1)</f>
        <v/>
      </c>
      <c r="G92">
        <f>参数假设!$C$7+($D$91-参数假设!$C$7)*4/(参数假设!$C$6-1)</f>
        <v/>
      </c>
    </row>
    <row r="93">
      <c r="C93">
        <f>参数假设!$C$21*(1+C92)</f>
        <v/>
      </c>
      <c r="D93">
        <f>C93*(1+D92)</f>
        <v/>
      </c>
      <c r="E93">
        <f>D93*(1+E92)</f>
        <v/>
      </c>
      <c r="F93">
        <f>E93*(1+F92)</f>
        <v/>
      </c>
      <c r="G93">
        <f>F93*(1+G92)</f>
        <v/>
      </c>
    </row>
    <row r="94">
      <c r="C94">
        <f>C93*参数假设!$C$8*(1-参数假设!$C$18)+C93*参数假设!$C$9-C93*参数假设!$C$10-C93*参数假设!$C$11</f>
        <v/>
      </c>
      <c r="D94">
        <f>D93*参数假设!$C$8*(1-参数假设!$C$18)+D93*参数假设!$C$9-D93*参数假设!$C$10-D93*参数假设!$C$11</f>
        <v/>
      </c>
      <c r="E94">
        <f>E93*参数假设!$C$8*(1-参数假设!$C$18)+E93*参数假设!$C$9-E93*参数假设!$C$10-E93*参数假设!$C$11</f>
        <v/>
      </c>
      <c r="F94">
        <f>F93*参数假设!$C$8*(1-参数假设!$C$18)+F93*参数假设!$C$9-F93*参数假设!$C$10-F93*参数假设!$C$11</f>
        <v/>
      </c>
      <c r="G94">
        <f>G93*参数假设!$C$8*(1-参数假设!$C$18)+G93*参数假设!$C$9-G93*参数假设!$C$10-G93*参数假设!$C$11</f>
        <v/>
      </c>
    </row>
    <row r="95">
      <c r="C95">
        <f>C94/(1+$C$91)^(0+0.5)</f>
        <v/>
      </c>
      <c r="D95">
        <f>D94/(1+$C$91)^(1+0.5)</f>
        <v/>
      </c>
      <c r="E95">
        <f>E94/(1+$C$91)^(2+0.5)</f>
        <v/>
      </c>
      <c r="F95">
        <f>F94/(1+$C$91)^(3+0.5)</f>
        <v/>
      </c>
      <c r="G95">
        <f>G94/(1+$C$91)^(4+0.5)</f>
        <v/>
      </c>
    </row>
    <row r="96">
      <c r="C96" s="3">
        <f>IFERROR((SUM(C95:G95)+((G94*(1+$D$91)/($C$91-$D$91)+(G93*参数假设!$C$8+G93*参数假设!$C$9)*参数假设!$C$28)/2)/(1+$C$91)^参数假设!$C$6+参数假设!$C$22-参数假设!$C$23-参数假设!$C$24-参数假设!$C$25)/参数假设!$C$26,"")</f>
        <v/>
      </c>
    </row>
    <row r="98">
      <c r="B98" s="3" t="inlineStr">
        <is>
          <t>WACC=5.8760%  g=3.0000%</t>
        </is>
      </c>
      <c r="C98" s="3" t="n">
        <v>0.05876011676096274</v>
      </c>
      <c r="D98" s="3" t="n">
        <v>0.03</v>
      </c>
    </row>
    <row r="99">
      <c r="C99">
        <f>参数假设!$C$7+($D$98-参数假设!$C$7)*0/(参数假设!$C$6-1)</f>
        <v/>
      </c>
      <c r="D99">
        <f>参数假设!$C$7+($D$98-参数假设!$C$7)*1/(参数假设!$C$6-1)</f>
        <v/>
      </c>
      <c r="E99">
        <f>参数假设!$C$7+($D$98-参数假设!$C$7)*2/(参数假设!$C$6-1)</f>
        <v/>
      </c>
      <c r="F99">
        <f>参数假设!$C$7+($D$98-参数假设!$C$7)*3/(参数假设!$C$6-1)</f>
        <v/>
      </c>
      <c r="G99">
        <f>参数假设!$C$7+($D$98-参数假设!$C$7)*4/(参数假设!$C$6-1)</f>
        <v/>
      </c>
    </row>
    <row r="100">
      <c r="C100">
        <f>参数假设!$C$21*(1+C99)</f>
        <v/>
      </c>
      <c r="D100">
        <f>C100*(1+D99)</f>
        <v/>
      </c>
      <c r="E100">
        <f>D100*(1+E99)</f>
        <v/>
      </c>
      <c r="F100">
        <f>E100*(1+F99)</f>
        <v/>
      </c>
      <c r="G100">
        <f>F100*(1+G99)</f>
        <v/>
      </c>
    </row>
    <row r="101">
      <c r="C101">
        <f>C100*参数假设!$C$8*(1-参数假设!$C$18)+C100*参数假设!$C$9-C100*参数假设!$C$10-C100*参数假设!$C$11</f>
        <v/>
      </c>
      <c r="D101">
        <f>D100*参数假设!$C$8*(1-参数假设!$C$18)+D100*参数假设!$C$9-D100*参数假设!$C$10-D100*参数假设!$C$11</f>
        <v/>
      </c>
      <c r="E101">
        <f>E100*参数假设!$C$8*(1-参数假设!$C$18)+E100*参数假设!$C$9-E100*参数假设!$C$10-E100*参数假设!$C$11</f>
        <v/>
      </c>
      <c r="F101">
        <f>F100*参数假设!$C$8*(1-参数假设!$C$18)+F100*参数假设!$C$9-F100*参数假设!$C$10-F100*参数假设!$C$11</f>
        <v/>
      </c>
      <c r="G101">
        <f>G100*参数假设!$C$8*(1-参数假设!$C$18)+G100*参数假设!$C$9-G100*参数假设!$C$10-G100*参数假设!$C$11</f>
        <v/>
      </c>
    </row>
    <row r="102">
      <c r="C102">
        <f>C101/(1+$C$98)^(0+0.5)</f>
        <v/>
      </c>
      <c r="D102">
        <f>D101/(1+$C$98)^(1+0.5)</f>
        <v/>
      </c>
      <c r="E102">
        <f>E101/(1+$C$98)^(2+0.5)</f>
        <v/>
      </c>
      <c r="F102">
        <f>F101/(1+$C$98)^(3+0.5)</f>
        <v/>
      </c>
      <c r="G102">
        <f>G101/(1+$C$98)^(4+0.5)</f>
        <v/>
      </c>
    </row>
    <row r="103">
      <c r="C103" s="3">
        <f>IFERROR((SUM(C102:G102)+((G101*(1+$D$98)/($C$98-$D$98)+(G100*参数假设!$C$8+G100*参数假设!$C$9)*参数假设!$C$28)/2)/(1+$C$98)^参数假设!$C$6+参数假设!$C$22-参数假设!$C$23-参数假设!$C$24-参数假设!$C$25)/参数假设!$C$26,"")</f>
        <v/>
      </c>
    </row>
    <row r="105">
      <c r="B105" s="3" t="inlineStr">
        <is>
          <t>WACC=5.8760%  g=3.5000%</t>
        </is>
      </c>
      <c r="C105" s="3" t="n">
        <v>0.05876011676096274</v>
      </c>
      <c r="D105" s="3" t="n">
        <v>0.035</v>
      </c>
    </row>
    <row r="106">
      <c r="C106">
        <f>参数假设!$C$7+($D$105-参数假设!$C$7)*0/(参数假设!$C$6-1)</f>
        <v/>
      </c>
      <c r="D106">
        <f>参数假设!$C$7+($D$105-参数假设!$C$7)*1/(参数假设!$C$6-1)</f>
        <v/>
      </c>
      <c r="E106">
        <f>参数假设!$C$7+($D$105-参数假设!$C$7)*2/(参数假设!$C$6-1)</f>
        <v/>
      </c>
      <c r="F106">
        <f>参数假设!$C$7+($D$105-参数假设!$C$7)*3/(参数假设!$C$6-1)</f>
        <v/>
      </c>
      <c r="G106">
        <f>参数假设!$C$7+($D$105-参数假设!$C$7)*4/(参数假设!$C$6-1)</f>
        <v/>
      </c>
    </row>
    <row r="107">
      <c r="C107">
        <f>参数假设!$C$21*(1+C106)</f>
        <v/>
      </c>
      <c r="D107">
        <f>C107*(1+D106)</f>
        <v/>
      </c>
      <c r="E107">
        <f>D107*(1+E106)</f>
        <v/>
      </c>
      <c r="F107">
        <f>E107*(1+F106)</f>
        <v/>
      </c>
      <c r="G107">
        <f>F107*(1+G106)</f>
        <v/>
      </c>
    </row>
    <row r="108">
      <c r="C108">
        <f>C107*参数假设!$C$8*(1-参数假设!$C$18)+C107*参数假设!$C$9-C107*参数假设!$C$10-C107*参数假设!$C$11</f>
        <v/>
      </c>
      <c r="D108">
        <f>D107*参数假设!$C$8*(1-参数假设!$C$18)+D107*参数假设!$C$9-D107*参数假设!$C$10-D107*参数假设!$C$11</f>
        <v/>
      </c>
      <c r="E108">
        <f>E107*参数假设!$C$8*(1-参数假设!$C$18)+E107*参数假设!$C$9-E107*参数假设!$C$10-E107*参数假设!$C$11</f>
        <v/>
      </c>
      <c r="F108">
        <f>F107*参数假设!$C$8*(1-参数假设!$C$18)+F107*参数假设!$C$9-F107*参数假设!$C$10-F107*参数假设!$C$11</f>
        <v/>
      </c>
      <c r="G108">
        <f>G107*参数假设!$C$8*(1-参数假设!$C$18)+G107*参数假设!$C$9-G107*参数假设!$C$10-G107*参数假设!$C$11</f>
        <v/>
      </c>
    </row>
    <row r="109">
      <c r="C109">
        <f>C108/(1+$C$105)^(0+0.5)</f>
        <v/>
      </c>
      <c r="D109">
        <f>D108/(1+$C$105)^(1+0.5)</f>
        <v/>
      </c>
      <c r="E109">
        <f>E108/(1+$C$105)^(2+0.5)</f>
        <v/>
      </c>
      <c r="F109">
        <f>F108/(1+$C$105)^(3+0.5)</f>
        <v/>
      </c>
      <c r="G109">
        <f>G108/(1+$C$105)^(4+0.5)</f>
        <v/>
      </c>
    </row>
    <row r="110">
      <c r="C110" s="3">
        <f>IFERROR((SUM(C109:G109)+((G108*(1+$D$105)/($C$105-$D$105)+(G107*参数假设!$C$8+G107*参数假设!$C$9)*参数假设!$C$28)/2)/(1+$C$105)^参数假设!$C$6+参数假设!$C$22-参数假设!$C$23-参数假设!$C$24-参数假设!$C$25)/参数假设!$C$26,"")</f>
        <v/>
      </c>
    </row>
    <row r="112">
      <c r="B112" s="3" t="inlineStr">
        <is>
          <t>WACC=5.8760%  g=4.0000%</t>
        </is>
      </c>
      <c r="C112" s="3" t="n">
        <v>0.05876011676096274</v>
      </c>
      <c r="D112" s="3" t="n">
        <v>0.04</v>
      </c>
    </row>
    <row r="113">
      <c r="C113">
        <f>参数假设!$C$7+($D$112-参数假设!$C$7)*0/(参数假设!$C$6-1)</f>
        <v/>
      </c>
      <c r="D113">
        <f>参数假设!$C$7+($D$112-参数假设!$C$7)*1/(参数假设!$C$6-1)</f>
        <v/>
      </c>
      <c r="E113">
        <f>参数假设!$C$7+($D$112-参数假设!$C$7)*2/(参数假设!$C$6-1)</f>
        <v/>
      </c>
      <c r="F113">
        <f>参数假设!$C$7+($D$112-参数假设!$C$7)*3/(参数假设!$C$6-1)</f>
        <v/>
      </c>
      <c r="G113">
        <f>参数假设!$C$7+($D$112-参数假设!$C$7)*4/(参数假设!$C$6-1)</f>
        <v/>
      </c>
    </row>
    <row r="114">
      <c r="C114">
        <f>参数假设!$C$21*(1+C113)</f>
        <v/>
      </c>
      <c r="D114">
        <f>C114*(1+D113)</f>
        <v/>
      </c>
      <c r="E114">
        <f>D114*(1+E113)</f>
        <v/>
      </c>
      <c r="F114">
        <f>E114*(1+F113)</f>
        <v/>
      </c>
      <c r="G114">
        <f>F114*(1+G113)</f>
        <v/>
      </c>
    </row>
    <row r="115">
      <c r="C115">
        <f>C114*参数假设!$C$8*(1-参数假设!$C$18)+C114*参数假设!$C$9-C114*参数假设!$C$10-C114*参数假设!$C$11</f>
        <v/>
      </c>
      <c r="D115">
        <f>D114*参数假设!$C$8*(1-参数假设!$C$18)+D114*参数假设!$C$9-D114*参数假设!$C$10-D114*参数假设!$C$11</f>
        <v/>
      </c>
      <c r="E115">
        <f>E114*参数假设!$C$8*(1-参数假设!$C$18)+E114*参数假设!$C$9-E114*参数假设!$C$10-E114*参数假设!$C$11</f>
        <v/>
      </c>
      <c r="F115">
        <f>F114*参数假设!$C$8*(1-参数假设!$C$18)+F114*参数假设!$C$9-F114*参数假设!$C$10-F114*参数假设!$C$11</f>
        <v/>
      </c>
      <c r="G115">
        <f>G114*参数假设!$C$8*(1-参数假设!$C$18)+G114*参数假设!$C$9-G114*参数假设!$C$10-G114*参数假设!$C$11</f>
        <v/>
      </c>
    </row>
    <row r="116">
      <c r="C116">
        <f>C115/(1+$C$112)^(0+0.5)</f>
        <v/>
      </c>
      <c r="D116">
        <f>D115/(1+$C$112)^(1+0.5)</f>
        <v/>
      </c>
      <c r="E116">
        <f>E115/(1+$C$112)^(2+0.5)</f>
        <v/>
      </c>
      <c r="F116">
        <f>F115/(1+$C$112)^(3+0.5)</f>
        <v/>
      </c>
      <c r="G116">
        <f>G115/(1+$C$112)^(4+0.5)</f>
        <v/>
      </c>
    </row>
    <row r="117">
      <c r="C117" s="3">
        <f>IFERROR((SUM(C116:G116)+((G115*(1+$D$112)/($C$112-$D$112)+(G114*参数假设!$C$8+G114*参数假设!$C$9)*参数假设!$C$28)/2)/(1+$C$112)^参数假设!$C$6+参数假设!$C$22-参数假设!$C$23-参数假设!$C$24-参数假设!$C$25)/参数假设!$C$26,"")</f>
        <v/>
      </c>
    </row>
    <row r="119">
      <c r="B119" s="3" t="inlineStr">
        <is>
          <t>WACC=6.3760%  g=2.0000%</t>
        </is>
      </c>
      <c r="C119" s="3" t="n">
        <v>0.06376011676096274</v>
      </c>
      <c r="D119" s="3" t="n">
        <v>0.02</v>
      </c>
    </row>
    <row r="120">
      <c r="C120">
        <f>参数假设!$C$7+($D$119-参数假设!$C$7)*0/(参数假设!$C$6-1)</f>
        <v/>
      </c>
      <c r="D120">
        <f>参数假设!$C$7+($D$119-参数假设!$C$7)*1/(参数假设!$C$6-1)</f>
        <v/>
      </c>
      <c r="E120">
        <f>参数假设!$C$7+($D$119-参数假设!$C$7)*2/(参数假设!$C$6-1)</f>
        <v/>
      </c>
      <c r="F120">
        <f>参数假设!$C$7+($D$119-参数假设!$C$7)*3/(参数假设!$C$6-1)</f>
        <v/>
      </c>
      <c r="G120">
        <f>参数假设!$C$7+($D$119-参数假设!$C$7)*4/(参数假设!$C$6-1)</f>
        <v/>
      </c>
    </row>
    <row r="121">
      <c r="C121">
        <f>参数假设!$C$21*(1+C120)</f>
        <v/>
      </c>
      <c r="D121">
        <f>C121*(1+D120)</f>
        <v/>
      </c>
      <c r="E121">
        <f>D121*(1+E120)</f>
        <v/>
      </c>
      <c r="F121">
        <f>E121*(1+F120)</f>
        <v/>
      </c>
      <c r="G121">
        <f>F121*(1+G120)</f>
        <v/>
      </c>
    </row>
    <row r="122">
      <c r="C122">
        <f>C121*参数假设!$C$8*(1-参数假设!$C$18)+C121*参数假设!$C$9-C121*参数假设!$C$10-C121*参数假设!$C$11</f>
        <v/>
      </c>
      <c r="D122">
        <f>D121*参数假设!$C$8*(1-参数假设!$C$18)+D121*参数假设!$C$9-D121*参数假设!$C$10-D121*参数假设!$C$11</f>
        <v/>
      </c>
      <c r="E122">
        <f>E121*参数假设!$C$8*(1-参数假设!$C$18)+E121*参数假设!$C$9-E121*参数假设!$C$10-E121*参数假设!$C$11</f>
        <v/>
      </c>
      <c r="F122">
        <f>F121*参数假设!$C$8*(1-参数假设!$C$18)+F121*参数假设!$C$9-F121*参数假设!$C$10-F121*参数假设!$C$11</f>
        <v/>
      </c>
      <c r="G122">
        <f>G121*参数假设!$C$8*(1-参数假设!$C$18)+G121*参数假设!$C$9-G121*参数假设!$C$10-G121*参数假设!$C$11</f>
        <v/>
      </c>
    </row>
    <row r="123">
      <c r="C123">
        <f>C122/(1+$C$119)^(0+0.5)</f>
        <v/>
      </c>
      <c r="D123">
        <f>D122/(1+$C$119)^(1+0.5)</f>
        <v/>
      </c>
      <c r="E123">
        <f>E122/(1+$C$119)^(2+0.5)</f>
        <v/>
      </c>
      <c r="F123">
        <f>F122/(1+$C$119)^(3+0.5)</f>
        <v/>
      </c>
      <c r="G123">
        <f>G122/(1+$C$119)^(4+0.5)</f>
        <v/>
      </c>
    </row>
    <row r="124">
      <c r="C124" s="3">
        <f>IFERROR((SUM(C123:G123)+((G122*(1+$D$119)/($C$119-$D$119)+(G121*参数假设!$C$8+G121*参数假设!$C$9)*参数假设!$C$28)/2)/(1+$C$119)^参数假设!$C$6+参数假设!$C$22-参数假设!$C$23-参数假设!$C$24-参数假设!$C$25)/参数假设!$C$26,"")</f>
        <v/>
      </c>
    </row>
    <row r="126">
      <c r="B126" s="3" t="inlineStr">
        <is>
          <t>WACC=6.3760%  g=2.5000%</t>
        </is>
      </c>
      <c r="C126" s="3" t="n">
        <v>0.06376011676096274</v>
      </c>
      <c r="D126" s="3" t="n">
        <v>0.025</v>
      </c>
    </row>
    <row r="127">
      <c r="C127">
        <f>参数假设!$C$7+($D$126-参数假设!$C$7)*0/(参数假设!$C$6-1)</f>
        <v/>
      </c>
      <c r="D127">
        <f>参数假设!$C$7+($D$126-参数假设!$C$7)*1/(参数假设!$C$6-1)</f>
        <v/>
      </c>
      <c r="E127">
        <f>参数假设!$C$7+($D$126-参数假设!$C$7)*2/(参数假设!$C$6-1)</f>
        <v/>
      </c>
      <c r="F127">
        <f>参数假设!$C$7+($D$126-参数假设!$C$7)*3/(参数假设!$C$6-1)</f>
        <v/>
      </c>
      <c r="G127">
        <f>参数假设!$C$7+($D$126-参数假设!$C$7)*4/(参数假设!$C$6-1)</f>
        <v/>
      </c>
    </row>
    <row r="128">
      <c r="C128">
        <f>参数假设!$C$21*(1+C127)</f>
        <v/>
      </c>
      <c r="D128">
        <f>C128*(1+D127)</f>
        <v/>
      </c>
      <c r="E128">
        <f>D128*(1+E127)</f>
        <v/>
      </c>
      <c r="F128">
        <f>E128*(1+F127)</f>
        <v/>
      </c>
      <c r="G128">
        <f>F128*(1+G127)</f>
        <v/>
      </c>
    </row>
    <row r="129">
      <c r="C129">
        <f>C128*参数假设!$C$8*(1-参数假设!$C$18)+C128*参数假设!$C$9-C128*参数假设!$C$10-C128*参数假设!$C$11</f>
        <v/>
      </c>
      <c r="D129">
        <f>D128*参数假设!$C$8*(1-参数假设!$C$18)+D128*参数假设!$C$9-D128*参数假设!$C$10-D128*参数假设!$C$11</f>
        <v/>
      </c>
      <c r="E129">
        <f>E128*参数假设!$C$8*(1-参数假设!$C$18)+E128*参数假设!$C$9-E128*参数假设!$C$10-E128*参数假设!$C$11</f>
        <v/>
      </c>
      <c r="F129">
        <f>F128*参数假设!$C$8*(1-参数假设!$C$18)+F128*参数假设!$C$9-F128*参数假设!$C$10-F128*参数假设!$C$11</f>
        <v/>
      </c>
      <c r="G129">
        <f>G128*参数假设!$C$8*(1-参数假设!$C$18)+G128*参数假设!$C$9-G128*参数假设!$C$10-G128*参数假设!$C$11</f>
        <v/>
      </c>
    </row>
    <row r="130">
      <c r="C130">
        <f>C129/(1+$C$126)^(0+0.5)</f>
        <v/>
      </c>
      <c r="D130">
        <f>D129/(1+$C$126)^(1+0.5)</f>
        <v/>
      </c>
      <c r="E130">
        <f>E129/(1+$C$126)^(2+0.5)</f>
        <v/>
      </c>
      <c r="F130">
        <f>F129/(1+$C$126)^(3+0.5)</f>
        <v/>
      </c>
      <c r="G130">
        <f>G129/(1+$C$126)^(4+0.5)</f>
        <v/>
      </c>
    </row>
    <row r="131">
      <c r="C131" s="3">
        <f>IFERROR((SUM(C130:G130)+((G129*(1+$D$126)/($C$126-$D$126)+(G128*参数假设!$C$8+G128*参数假设!$C$9)*参数假设!$C$28)/2)/(1+$C$126)^参数假设!$C$6+参数假设!$C$22-参数假设!$C$23-参数假设!$C$24-参数假设!$C$25)/参数假设!$C$26,"")</f>
        <v/>
      </c>
    </row>
    <row r="133">
      <c r="B133" s="3" t="inlineStr">
        <is>
          <t>WACC=6.3760%  g=3.0000%</t>
        </is>
      </c>
      <c r="C133" s="3" t="n">
        <v>0.06376011676096274</v>
      </c>
      <c r="D133" s="3" t="n">
        <v>0.03</v>
      </c>
    </row>
    <row r="134">
      <c r="C134">
        <f>参数假设!$C$7+($D$133-参数假设!$C$7)*0/(参数假设!$C$6-1)</f>
        <v/>
      </c>
      <c r="D134">
        <f>参数假设!$C$7+($D$133-参数假设!$C$7)*1/(参数假设!$C$6-1)</f>
        <v/>
      </c>
      <c r="E134">
        <f>参数假设!$C$7+($D$133-参数假设!$C$7)*2/(参数假设!$C$6-1)</f>
        <v/>
      </c>
      <c r="F134">
        <f>参数假设!$C$7+($D$133-参数假设!$C$7)*3/(参数假设!$C$6-1)</f>
        <v/>
      </c>
      <c r="G134">
        <f>参数假设!$C$7+($D$133-参数假设!$C$7)*4/(参数假设!$C$6-1)</f>
        <v/>
      </c>
    </row>
    <row r="135">
      <c r="C135">
        <f>参数假设!$C$21*(1+C134)</f>
        <v/>
      </c>
      <c r="D135">
        <f>C135*(1+D134)</f>
        <v/>
      </c>
      <c r="E135">
        <f>D135*(1+E134)</f>
        <v/>
      </c>
      <c r="F135">
        <f>E135*(1+F134)</f>
        <v/>
      </c>
      <c r="G135">
        <f>F135*(1+G134)</f>
        <v/>
      </c>
    </row>
    <row r="136">
      <c r="C136">
        <f>C135*参数假设!$C$8*(1-参数假设!$C$18)+C135*参数假设!$C$9-C135*参数假设!$C$10-C135*参数假设!$C$11</f>
        <v/>
      </c>
      <c r="D136">
        <f>D135*参数假设!$C$8*(1-参数假设!$C$18)+D135*参数假设!$C$9-D135*参数假设!$C$10-D135*参数假设!$C$11</f>
        <v/>
      </c>
      <c r="E136">
        <f>E135*参数假设!$C$8*(1-参数假设!$C$18)+E135*参数假设!$C$9-E135*参数假设!$C$10-E135*参数假设!$C$11</f>
        <v/>
      </c>
      <c r="F136">
        <f>F135*参数假设!$C$8*(1-参数假设!$C$18)+F135*参数假设!$C$9-F135*参数假设!$C$10-F135*参数假设!$C$11</f>
        <v/>
      </c>
      <c r="G136">
        <f>G135*参数假设!$C$8*(1-参数假设!$C$18)+G135*参数假设!$C$9-G135*参数假设!$C$10-G135*参数假设!$C$11</f>
        <v/>
      </c>
    </row>
    <row r="137">
      <c r="C137">
        <f>C136/(1+$C$133)^(0+0.5)</f>
        <v/>
      </c>
      <c r="D137">
        <f>D136/(1+$C$133)^(1+0.5)</f>
        <v/>
      </c>
      <c r="E137">
        <f>E136/(1+$C$133)^(2+0.5)</f>
        <v/>
      </c>
      <c r="F137">
        <f>F136/(1+$C$133)^(3+0.5)</f>
        <v/>
      </c>
      <c r="G137">
        <f>G136/(1+$C$133)^(4+0.5)</f>
        <v/>
      </c>
    </row>
    <row r="138">
      <c r="C138" s="3">
        <f>IFERROR((SUM(C137:G137)+((G136*(1+$D$133)/($C$133-$D$133)+(G135*参数假设!$C$8+G135*参数假设!$C$9)*参数假设!$C$28)/2)/(1+$C$133)^参数假设!$C$6+参数假设!$C$22-参数假设!$C$23-参数假设!$C$24-参数假设!$C$25)/参数假设!$C$26,"")</f>
        <v/>
      </c>
    </row>
    <row r="140">
      <c r="B140" s="3" t="inlineStr">
        <is>
          <t>WACC=6.3760%  g=3.5000%</t>
        </is>
      </c>
      <c r="C140" s="3" t="n">
        <v>0.06376011676096274</v>
      </c>
      <c r="D140" s="3" t="n">
        <v>0.035</v>
      </c>
    </row>
    <row r="141">
      <c r="C141">
        <f>参数假设!$C$7+($D$140-参数假设!$C$7)*0/(参数假设!$C$6-1)</f>
        <v/>
      </c>
      <c r="D141">
        <f>参数假设!$C$7+($D$140-参数假设!$C$7)*1/(参数假设!$C$6-1)</f>
        <v/>
      </c>
      <c r="E141">
        <f>参数假设!$C$7+($D$140-参数假设!$C$7)*2/(参数假设!$C$6-1)</f>
        <v/>
      </c>
      <c r="F141">
        <f>参数假设!$C$7+($D$140-参数假设!$C$7)*3/(参数假设!$C$6-1)</f>
        <v/>
      </c>
      <c r="G141">
        <f>参数假设!$C$7+($D$140-参数假设!$C$7)*4/(参数假设!$C$6-1)</f>
        <v/>
      </c>
    </row>
    <row r="142">
      <c r="C142">
        <f>参数假设!$C$21*(1+C141)</f>
        <v/>
      </c>
      <c r="D142">
        <f>C142*(1+D141)</f>
        <v/>
      </c>
      <c r="E142">
        <f>D142*(1+E141)</f>
        <v/>
      </c>
      <c r="F142">
        <f>E142*(1+F141)</f>
        <v/>
      </c>
      <c r="G142">
        <f>F142*(1+G141)</f>
        <v/>
      </c>
    </row>
    <row r="143">
      <c r="C143">
        <f>C142*参数假设!$C$8*(1-参数假设!$C$18)+C142*参数假设!$C$9-C142*参数假设!$C$10-C142*参数假设!$C$11</f>
        <v/>
      </c>
      <c r="D143">
        <f>D142*参数假设!$C$8*(1-参数假设!$C$18)+D142*参数假设!$C$9-D142*参数假设!$C$10-D142*参数假设!$C$11</f>
        <v/>
      </c>
      <c r="E143">
        <f>E142*参数假设!$C$8*(1-参数假设!$C$18)+E142*参数假设!$C$9-E142*参数假设!$C$10-E142*参数假设!$C$11</f>
        <v/>
      </c>
      <c r="F143">
        <f>F142*参数假设!$C$8*(1-参数假设!$C$18)+F142*参数假设!$C$9-F142*参数假设!$C$10-F142*参数假设!$C$11</f>
        <v/>
      </c>
      <c r="G143">
        <f>G142*参数假设!$C$8*(1-参数假设!$C$18)+G142*参数假设!$C$9-G142*参数假设!$C$10-G142*参数假设!$C$11</f>
        <v/>
      </c>
    </row>
    <row r="144">
      <c r="C144">
        <f>C143/(1+$C$140)^(0+0.5)</f>
        <v/>
      </c>
      <c r="D144">
        <f>D143/(1+$C$140)^(1+0.5)</f>
        <v/>
      </c>
      <c r="E144">
        <f>E143/(1+$C$140)^(2+0.5)</f>
        <v/>
      </c>
      <c r="F144">
        <f>F143/(1+$C$140)^(3+0.5)</f>
        <v/>
      </c>
      <c r="G144">
        <f>G143/(1+$C$140)^(4+0.5)</f>
        <v/>
      </c>
    </row>
    <row r="145">
      <c r="C145" s="3">
        <f>IFERROR((SUM(C144:G144)+((G143*(1+$D$140)/($C$140-$D$140)+(G142*参数假设!$C$8+G142*参数假设!$C$9)*参数假设!$C$28)/2)/(1+$C$140)^参数假设!$C$6+参数假设!$C$22-参数假设!$C$23-参数假设!$C$24-参数假设!$C$25)/参数假设!$C$26,"")</f>
        <v/>
      </c>
    </row>
    <row r="147">
      <c r="B147" s="3" t="inlineStr">
        <is>
          <t>WACC=6.3760%  g=4.0000%</t>
        </is>
      </c>
      <c r="C147" s="3" t="n">
        <v>0.06376011676096274</v>
      </c>
      <c r="D147" s="3" t="n">
        <v>0.04</v>
      </c>
    </row>
    <row r="148">
      <c r="C148">
        <f>参数假设!$C$7+($D$147-参数假设!$C$7)*0/(参数假设!$C$6-1)</f>
        <v/>
      </c>
      <c r="D148">
        <f>参数假设!$C$7+($D$147-参数假设!$C$7)*1/(参数假设!$C$6-1)</f>
        <v/>
      </c>
      <c r="E148">
        <f>参数假设!$C$7+($D$147-参数假设!$C$7)*2/(参数假设!$C$6-1)</f>
        <v/>
      </c>
      <c r="F148">
        <f>参数假设!$C$7+($D$147-参数假设!$C$7)*3/(参数假设!$C$6-1)</f>
        <v/>
      </c>
      <c r="G148">
        <f>参数假设!$C$7+($D$147-参数假设!$C$7)*4/(参数假设!$C$6-1)</f>
        <v/>
      </c>
    </row>
    <row r="149">
      <c r="C149">
        <f>参数假设!$C$21*(1+C148)</f>
        <v/>
      </c>
      <c r="D149">
        <f>C149*(1+D148)</f>
        <v/>
      </c>
      <c r="E149">
        <f>D149*(1+E148)</f>
        <v/>
      </c>
      <c r="F149">
        <f>E149*(1+F148)</f>
        <v/>
      </c>
      <c r="G149">
        <f>F149*(1+G148)</f>
        <v/>
      </c>
    </row>
    <row r="150">
      <c r="C150">
        <f>C149*参数假设!$C$8*(1-参数假设!$C$18)+C149*参数假设!$C$9-C149*参数假设!$C$10-C149*参数假设!$C$11</f>
        <v/>
      </c>
      <c r="D150">
        <f>D149*参数假设!$C$8*(1-参数假设!$C$18)+D149*参数假设!$C$9-D149*参数假设!$C$10-D149*参数假设!$C$11</f>
        <v/>
      </c>
      <c r="E150">
        <f>E149*参数假设!$C$8*(1-参数假设!$C$18)+E149*参数假设!$C$9-E149*参数假设!$C$10-E149*参数假设!$C$11</f>
        <v/>
      </c>
      <c r="F150">
        <f>F149*参数假设!$C$8*(1-参数假设!$C$18)+F149*参数假设!$C$9-F149*参数假设!$C$10-F149*参数假设!$C$11</f>
        <v/>
      </c>
      <c r="G150">
        <f>G149*参数假设!$C$8*(1-参数假设!$C$18)+G149*参数假设!$C$9-G149*参数假设!$C$10-G149*参数假设!$C$11</f>
        <v/>
      </c>
    </row>
    <row r="151">
      <c r="C151">
        <f>C150/(1+$C$147)^(0+0.5)</f>
        <v/>
      </c>
      <c r="D151">
        <f>D150/(1+$C$147)^(1+0.5)</f>
        <v/>
      </c>
      <c r="E151">
        <f>E150/(1+$C$147)^(2+0.5)</f>
        <v/>
      </c>
      <c r="F151">
        <f>F150/(1+$C$147)^(3+0.5)</f>
        <v/>
      </c>
      <c r="G151">
        <f>G150/(1+$C$147)^(4+0.5)</f>
        <v/>
      </c>
    </row>
    <row r="152">
      <c r="C152" s="3">
        <f>IFERROR((SUM(C151:G151)+((G150*(1+$D$147)/($C$147-$D$147)+(G149*参数假设!$C$8+G149*参数假设!$C$9)*参数假设!$C$28)/2)/(1+$C$147)^参数假设!$C$6+参数假设!$C$22-参数假设!$C$23-参数假设!$C$24-参数假设!$C$25)/参数假设!$C$26,"")</f>
        <v/>
      </c>
    </row>
    <row r="154">
      <c r="B154" s="3" t="inlineStr">
        <is>
          <t>WACC=6.8760%  g=2.0000%</t>
        </is>
      </c>
      <c r="C154" s="3" t="n">
        <v>0.06876011676096273</v>
      </c>
      <c r="D154" s="3" t="n">
        <v>0.02</v>
      </c>
    </row>
    <row r="155">
      <c r="C155">
        <f>参数假设!$C$7+($D$154-参数假设!$C$7)*0/(参数假设!$C$6-1)</f>
        <v/>
      </c>
      <c r="D155">
        <f>参数假设!$C$7+($D$154-参数假设!$C$7)*1/(参数假设!$C$6-1)</f>
        <v/>
      </c>
      <c r="E155">
        <f>参数假设!$C$7+($D$154-参数假设!$C$7)*2/(参数假设!$C$6-1)</f>
        <v/>
      </c>
      <c r="F155">
        <f>参数假设!$C$7+($D$154-参数假设!$C$7)*3/(参数假设!$C$6-1)</f>
        <v/>
      </c>
      <c r="G155">
        <f>参数假设!$C$7+($D$154-参数假设!$C$7)*4/(参数假设!$C$6-1)</f>
        <v/>
      </c>
    </row>
    <row r="156">
      <c r="C156">
        <f>参数假设!$C$21*(1+C155)</f>
        <v/>
      </c>
      <c r="D156">
        <f>C156*(1+D155)</f>
        <v/>
      </c>
      <c r="E156">
        <f>D156*(1+E155)</f>
        <v/>
      </c>
      <c r="F156">
        <f>E156*(1+F155)</f>
        <v/>
      </c>
      <c r="G156">
        <f>F156*(1+G155)</f>
        <v/>
      </c>
    </row>
    <row r="157">
      <c r="C157">
        <f>C156*参数假设!$C$8*(1-参数假设!$C$18)+C156*参数假设!$C$9-C156*参数假设!$C$10-C156*参数假设!$C$11</f>
        <v/>
      </c>
      <c r="D157">
        <f>D156*参数假设!$C$8*(1-参数假设!$C$18)+D156*参数假设!$C$9-D156*参数假设!$C$10-D156*参数假设!$C$11</f>
        <v/>
      </c>
      <c r="E157">
        <f>E156*参数假设!$C$8*(1-参数假设!$C$18)+E156*参数假设!$C$9-E156*参数假设!$C$10-E156*参数假设!$C$11</f>
        <v/>
      </c>
      <c r="F157">
        <f>F156*参数假设!$C$8*(1-参数假设!$C$18)+F156*参数假设!$C$9-F156*参数假设!$C$10-F156*参数假设!$C$11</f>
        <v/>
      </c>
      <c r="G157">
        <f>G156*参数假设!$C$8*(1-参数假设!$C$18)+G156*参数假设!$C$9-G156*参数假设!$C$10-G156*参数假设!$C$11</f>
        <v/>
      </c>
    </row>
    <row r="158">
      <c r="C158">
        <f>C157/(1+$C$154)^(0+0.5)</f>
        <v/>
      </c>
      <c r="D158">
        <f>D157/(1+$C$154)^(1+0.5)</f>
        <v/>
      </c>
      <c r="E158">
        <f>E157/(1+$C$154)^(2+0.5)</f>
        <v/>
      </c>
      <c r="F158">
        <f>F157/(1+$C$154)^(3+0.5)</f>
        <v/>
      </c>
      <c r="G158">
        <f>G157/(1+$C$154)^(4+0.5)</f>
        <v/>
      </c>
    </row>
    <row r="159">
      <c r="C159" s="3">
        <f>IFERROR((SUM(C158:G158)+((G157*(1+$D$154)/($C$154-$D$154)+(G156*参数假设!$C$8+G156*参数假设!$C$9)*参数假设!$C$28)/2)/(1+$C$154)^参数假设!$C$6+参数假设!$C$22-参数假设!$C$23-参数假设!$C$24-参数假设!$C$25)/参数假设!$C$26,"")</f>
        <v/>
      </c>
    </row>
    <row r="161">
      <c r="B161" s="3" t="inlineStr">
        <is>
          <t>WACC=6.8760%  g=2.5000%</t>
        </is>
      </c>
      <c r="C161" s="3" t="n">
        <v>0.06876011676096273</v>
      </c>
      <c r="D161" s="3" t="n">
        <v>0.025</v>
      </c>
    </row>
    <row r="162">
      <c r="C162">
        <f>参数假设!$C$7+($D$161-参数假设!$C$7)*0/(参数假设!$C$6-1)</f>
        <v/>
      </c>
      <c r="D162">
        <f>参数假设!$C$7+($D$161-参数假设!$C$7)*1/(参数假设!$C$6-1)</f>
        <v/>
      </c>
      <c r="E162">
        <f>参数假设!$C$7+($D$161-参数假设!$C$7)*2/(参数假设!$C$6-1)</f>
        <v/>
      </c>
      <c r="F162">
        <f>参数假设!$C$7+($D$161-参数假设!$C$7)*3/(参数假设!$C$6-1)</f>
        <v/>
      </c>
      <c r="G162">
        <f>参数假设!$C$7+($D$161-参数假设!$C$7)*4/(参数假设!$C$6-1)</f>
        <v/>
      </c>
    </row>
    <row r="163">
      <c r="C163">
        <f>参数假设!$C$21*(1+C162)</f>
        <v/>
      </c>
      <c r="D163">
        <f>C163*(1+D162)</f>
        <v/>
      </c>
      <c r="E163">
        <f>D163*(1+E162)</f>
        <v/>
      </c>
      <c r="F163">
        <f>E163*(1+F162)</f>
        <v/>
      </c>
      <c r="G163">
        <f>F163*(1+G162)</f>
        <v/>
      </c>
    </row>
    <row r="164">
      <c r="C164">
        <f>C163*参数假设!$C$8*(1-参数假设!$C$18)+C163*参数假设!$C$9-C163*参数假设!$C$10-C163*参数假设!$C$11</f>
        <v/>
      </c>
      <c r="D164">
        <f>D163*参数假设!$C$8*(1-参数假设!$C$18)+D163*参数假设!$C$9-D163*参数假设!$C$10-D163*参数假设!$C$11</f>
        <v/>
      </c>
      <c r="E164">
        <f>E163*参数假设!$C$8*(1-参数假设!$C$18)+E163*参数假设!$C$9-E163*参数假设!$C$10-E163*参数假设!$C$11</f>
        <v/>
      </c>
      <c r="F164">
        <f>F163*参数假设!$C$8*(1-参数假设!$C$18)+F163*参数假设!$C$9-F163*参数假设!$C$10-F163*参数假设!$C$11</f>
        <v/>
      </c>
      <c r="G164">
        <f>G163*参数假设!$C$8*(1-参数假设!$C$18)+G163*参数假设!$C$9-G163*参数假设!$C$10-G163*参数假设!$C$11</f>
        <v/>
      </c>
    </row>
    <row r="165">
      <c r="C165">
        <f>C164/(1+$C$161)^(0+0.5)</f>
        <v/>
      </c>
      <c r="D165">
        <f>D164/(1+$C$161)^(1+0.5)</f>
        <v/>
      </c>
      <c r="E165">
        <f>E164/(1+$C$161)^(2+0.5)</f>
        <v/>
      </c>
      <c r="F165">
        <f>F164/(1+$C$161)^(3+0.5)</f>
        <v/>
      </c>
      <c r="G165">
        <f>G164/(1+$C$161)^(4+0.5)</f>
        <v/>
      </c>
    </row>
    <row r="166">
      <c r="C166" s="3">
        <f>IFERROR((SUM(C165:G165)+((G164*(1+$D$161)/($C$161-$D$161)+(G163*参数假设!$C$8+G163*参数假设!$C$9)*参数假设!$C$28)/2)/(1+$C$161)^参数假设!$C$6+参数假设!$C$22-参数假设!$C$23-参数假设!$C$24-参数假设!$C$25)/参数假设!$C$26,"")</f>
        <v/>
      </c>
    </row>
    <row r="168">
      <c r="B168" s="3" t="inlineStr">
        <is>
          <t>WACC=6.8760%  g=3.0000%</t>
        </is>
      </c>
      <c r="C168" s="3" t="n">
        <v>0.06876011676096273</v>
      </c>
      <c r="D168" s="3" t="n">
        <v>0.03</v>
      </c>
    </row>
    <row r="169">
      <c r="C169">
        <f>参数假设!$C$7+($D$168-参数假设!$C$7)*0/(参数假设!$C$6-1)</f>
        <v/>
      </c>
      <c r="D169">
        <f>参数假设!$C$7+($D$168-参数假设!$C$7)*1/(参数假设!$C$6-1)</f>
        <v/>
      </c>
      <c r="E169">
        <f>参数假设!$C$7+($D$168-参数假设!$C$7)*2/(参数假设!$C$6-1)</f>
        <v/>
      </c>
      <c r="F169">
        <f>参数假设!$C$7+($D$168-参数假设!$C$7)*3/(参数假设!$C$6-1)</f>
        <v/>
      </c>
      <c r="G169">
        <f>参数假设!$C$7+($D$168-参数假设!$C$7)*4/(参数假设!$C$6-1)</f>
        <v/>
      </c>
    </row>
    <row r="170">
      <c r="C170">
        <f>参数假设!$C$21*(1+C169)</f>
        <v/>
      </c>
      <c r="D170">
        <f>C170*(1+D169)</f>
        <v/>
      </c>
      <c r="E170">
        <f>D170*(1+E169)</f>
        <v/>
      </c>
      <c r="F170">
        <f>E170*(1+F169)</f>
        <v/>
      </c>
      <c r="G170">
        <f>F170*(1+G169)</f>
        <v/>
      </c>
    </row>
    <row r="171">
      <c r="C171">
        <f>C170*参数假设!$C$8*(1-参数假设!$C$18)+C170*参数假设!$C$9-C170*参数假设!$C$10-C170*参数假设!$C$11</f>
        <v/>
      </c>
      <c r="D171">
        <f>D170*参数假设!$C$8*(1-参数假设!$C$18)+D170*参数假设!$C$9-D170*参数假设!$C$10-D170*参数假设!$C$11</f>
        <v/>
      </c>
      <c r="E171">
        <f>E170*参数假设!$C$8*(1-参数假设!$C$18)+E170*参数假设!$C$9-E170*参数假设!$C$10-E170*参数假设!$C$11</f>
        <v/>
      </c>
      <c r="F171">
        <f>F170*参数假设!$C$8*(1-参数假设!$C$18)+F170*参数假设!$C$9-F170*参数假设!$C$10-F170*参数假设!$C$11</f>
        <v/>
      </c>
      <c r="G171">
        <f>G170*参数假设!$C$8*(1-参数假设!$C$18)+G170*参数假设!$C$9-G170*参数假设!$C$10-G170*参数假设!$C$11</f>
        <v/>
      </c>
    </row>
    <row r="172">
      <c r="C172">
        <f>C171/(1+$C$168)^(0+0.5)</f>
        <v/>
      </c>
      <c r="D172">
        <f>D171/(1+$C$168)^(1+0.5)</f>
        <v/>
      </c>
      <c r="E172">
        <f>E171/(1+$C$168)^(2+0.5)</f>
        <v/>
      </c>
      <c r="F172">
        <f>F171/(1+$C$168)^(3+0.5)</f>
        <v/>
      </c>
      <c r="G172">
        <f>G171/(1+$C$168)^(4+0.5)</f>
        <v/>
      </c>
    </row>
    <row r="173">
      <c r="C173" s="3">
        <f>IFERROR((SUM(C172:G172)+((G171*(1+$D$168)/($C$168-$D$168)+(G170*参数假设!$C$8+G170*参数假设!$C$9)*参数假设!$C$28)/2)/(1+$C$168)^参数假设!$C$6+参数假设!$C$22-参数假设!$C$23-参数假设!$C$24-参数假设!$C$25)/参数假设!$C$26,"")</f>
        <v/>
      </c>
    </row>
    <row r="175">
      <c r="B175" s="3" t="inlineStr">
        <is>
          <t>WACC=6.8760%  g=3.5000%</t>
        </is>
      </c>
      <c r="C175" s="3" t="n">
        <v>0.06876011676096273</v>
      </c>
      <c r="D175" s="3" t="n">
        <v>0.035</v>
      </c>
    </row>
    <row r="176">
      <c r="C176">
        <f>参数假设!$C$7+($D$175-参数假设!$C$7)*0/(参数假设!$C$6-1)</f>
        <v/>
      </c>
      <c r="D176">
        <f>参数假设!$C$7+($D$175-参数假设!$C$7)*1/(参数假设!$C$6-1)</f>
        <v/>
      </c>
      <c r="E176">
        <f>参数假设!$C$7+($D$175-参数假设!$C$7)*2/(参数假设!$C$6-1)</f>
        <v/>
      </c>
      <c r="F176">
        <f>参数假设!$C$7+($D$175-参数假设!$C$7)*3/(参数假设!$C$6-1)</f>
        <v/>
      </c>
      <c r="G176">
        <f>参数假设!$C$7+($D$175-参数假设!$C$7)*4/(参数假设!$C$6-1)</f>
        <v/>
      </c>
    </row>
    <row r="177">
      <c r="C177">
        <f>参数假设!$C$21*(1+C176)</f>
        <v/>
      </c>
      <c r="D177">
        <f>C177*(1+D176)</f>
        <v/>
      </c>
      <c r="E177">
        <f>D177*(1+E176)</f>
        <v/>
      </c>
      <c r="F177">
        <f>E177*(1+F176)</f>
        <v/>
      </c>
      <c r="G177">
        <f>F177*(1+G176)</f>
        <v/>
      </c>
    </row>
    <row r="178">
      <c r="C178">
        <f>C177*参数假设!$C$8*(1-参数假设!$C$18)+C177*参数假设!$C$9-C177*参数假设!$C$10-C177*参数假设!$C$11</f>
        <v/>
      </c>
      <c r="D178">
        <f>D177*参数假设!$C$8*(1-参数假设!$C$18)+D177*参数假设!$C$9-D177*参数假设!$C$10-D177*参数假设!$C$11</f>
        <v/>
      </c>
      <c r="E178">
        <f>E177*参数假设!$C$8*(1-参数假设!$C$18)+E177*参数假设!$C$9-E177*参数假设!$C$10-E177*参数假设!$C$11</f>
        <v/>
      </c>
      <c r="F178">
        <f>F177*参数假设!$C$8*(1-参数假设!$C$18)+F177*参数假设!$C$9-F177*参数假设!$C$10-F177*参数假设!$C$11</f>
        <v/>
      </c>
      <c r="G178">
        <f>G177*参数假设!$C$8*(1-参数假设!$C$18)+G177*参数假设!$C$9-G177*参数假设!$C$10-G177*参数假设!$C$11</f>
        <v/>
      </c>
    </row>
    <row r="179">
      <c r="C179">
        <f>C178/(1+$C$175)^(0+0.5)</f>
        <v/>
      </c>
      <c r="D179">
        <f>D178/(1+$C$175)^(1+0.5)</f>
        <v/>
      </c>
      <c r="E179">
        <f>E178/(1+$C$175)^(2+0.5)</f>
        <v/>
      </c>
      <c r="F179">
        <f>F178/(1+$C$175)^(3+0.5)</f>
        <v/>
      </c>
      <c r="G179">
        <f>G178/(1+$C$175)^(4+0.5)</f>
        <v/>
      </c>
    </row>
    <row r="180">
      <c r="C180" s="3">
        <f>IFERROR((SUM(C179:G179)+((G178*(1+$D$175)/($C$175-$D$175)+(G177*参数假设!$C$8+G177*参数假设!$C$9)*参数假设!$C$28)/2)/(1+$C$175)^参数假设!$C$6+参数假设!$C$22-参数假设!$C$23-参数假设!$C$24-参数假设!$C$25)/参数假设!$C$26,"")</f>
        <v/>
      </c>
    </row>
    <row r="182">
      <c r="B182" s="3" t="inlineStr">
        <is>
          <t>WACC=6.8760%  g=4.0000%</t>
        </is>
      </c>
      <c r="C182" s="3" t="n">
        <v>0.06876011676096273</v>
      </c>
      <c r="D182" s="3" t="n">
        <v>0.04</v>
      </c>
    </row>
    <row r="183">
      <c r="C183">
        <f>参数假设!$C$7+($D$182-参数假设!$C$7)*0/(参数假设!$C$6-1)</f>
        <v/>
      </c>
      <c r="D183">
        <f>参数假设!$C$7+($D$182-参数假设!$C$7)*1/(参数假设!$C$6-1)</f>
        <v/>
      </c>
      <c r="E183">
        <f>参数假设!$C$7+($D$182-参数假设!$C$7)*2/(参数假设!$C$6-1)</f>
        <v/>
      </c>
      <c r="F183">
        <f>参数假设!$C$7+($D$182-参数假设!$C$7)*3/(参数假设!$C$6-1)</f>
        <v/>
      </c>
      <c r="G183">
        <f>参数假设!$C$7+($D$182-参数假设!$C$7)*4/(参数假设!$C$6-1)</f>
        <v/>
      </c>
    </row>
    <row r="184">
      <c r="C184">
        <f>参数假设!$C$21*(1+C183)</f>
        <v/>
      </c>
      <c r="D184">
        <f>C184*(1+D183)</f>
        <v/>
      </c>
      <c r="E184">
        <f>D184*(1+E183)</f>
        <v/>
      </c>
      <c r="F184">
        <f>E184*(1+F183)</f>
        <v/>
      </c>
      <c r="G184">
        <f>F184*(1+G183)</f>
        <v/>
      </c>
    </row>
    <row r="185">
      <c r="C185">
        <f>C184*参数假设!$C$8*(1-参数假设!$C$18)+C184*参数假设!$C$9-C184*参数假设!$C$10-C184*参数假设!$C$11</f>
        <v/>
      </c>
      <c r="D185">
        <f>D184*参数假设!$C$8*(1-参数假设!$C$18)+D184*参数假设!$C$9-D184*参数假设!$C$10-D184*参数假设!$C$11</f>
        <v/>
      </c>
      <c r="E185">
        <f>E184*参数假设!$C$8*(1-参数假设!$C$18)+E184*参数假设!$C$9-E184*参数假设!$C$10-E184*参数假设!$C$11</f>
        <v/>
      </c>
      <c r="F185">
        <f>F184*参数假设!$C$8*(1-参数假设!$C$18)+F184*参数假设!$C$9-F184*参数假设!$C$10-F184*参数假设!$C$11</f>
        <v/>
      </c>
      <c r="G185">
        <f>G184*参数假设!$C$8*(1-参数假设!$C$18)+G184*参数假设!$C$9-G184*参数假设!$C$10-G184*参数假设!$C$11</f>
        <v/>
      </c>
    </row>
    <row r="186">
      <c r="C186">
        <f>C185/(1+$C$182)^(0+0.5)</f>
        <v/>
      </c>
      <c r="D186">
        <f>D185/(1+$C$182)^(1+0.5)</f>
        <v/>
      </c>
      <c r="E186">
        <f>E185/(1+$C$182)^(2+0.5)</f>
        <v/>
      </c>
      <c r="F186">
        <f>F185/(1+$C$182)^(3+0.5)</f>
        <v/>
      </c>
      <c r="G186">
        <f>G185/(1+$C$182)^(4+0.5)</f>
        <v/>
      </c>
    </row>
    <row r="187">
      <c r="C187" s="3">
        <f>IFERROR((SUM(C186:G186)+((G185*(1+$D$182)/($C$182-$D$182)+(G184*参数假设!$C$8+G184*参数假设!$C$9)*参数假设!$C$28)/2)/(1+$C$182)^参数假设!$C$6+参数假设!$C$22-参数假设!$C$23-参数假设!$C$24-参数假设!$C$25)/参数假设!$C$26,"")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0" customWidth="1" min="2" max="2"/>
    <col width="14" customWidth="1" min="3" max="3"/>
    <col width="14" customWidth="1" min="4" max="4"/>
    <col width="18" customWidth="1" min="5" max="5"/>
  </cols>
  <sheetData>
    <row r="2">
      <c r="B2" s="1" t="inlineStr">
        <is>
          <t>数据来源与口径</t>
        </is>
      </c>
    </row>
    <row r="4">
      <c r="B4" s="13" t="inlineStr">
        <is>
          <t>来源</t>
        </is>
      </c>
      <c r="C4" s="13" t="inlineStr">
        <is>
          <t>用途</t>
        </is>
      </c>
      <c r="D4" s="13" t="inlineStr">
        <is>
          <t>取数日</t>
        </is>
      </c>
      <c r="E4" s="13" t="inlineStr">
        <is>
          <t>性质</t>
        </is>
      </c>
    </row>
    <row r="5">
      <c r="B5" s="7" t="inlineStr">
        <is>
          <t>新浪财经·财务报表</t>
        </is>
      </c>
      <c r="C5" s="7" t="inlineStr">
        <is>
          <t>财务/市场数据</t>
        </is>
      </c>
      <c r="D5" s="7" t="inlineStr">
        <is>
          <t>2026-10-10</t>
        </is>
      </c>
      <c r="E5" s="7" t="inlineStr">
        <is>
          <t>非官方源</t>
        </is>
      </c>
    </row>
    <row r="6">
      <c r="B6" s="7" t="inlineStr">
        <is>
          <t>中国债券信息网·10年期国债</t>
        </is>
      </c>
      <c r="C6" s="7" t="inlineStr">
        <is>
          <t>财务/市场数据</t>
        </is>
      </c>
      <c r="D6" s="7" t="inlineStr">
        <is>
          <t>2026-10-09</t>
        </is>
      </c>
      <c r="E6" s="7" t="inlineStr">
        <is>
          <t>官方源</t>
        </is>
      </c>
    </row>
    <row r="9" ht="32" customHeight="1">
      <c r="B9" s="3" t="inlineStr">
        <is>
          <t>as-of 规则：所有市场数据原则上取基准日或之前可获得的数据；确需使用基准日之后发布的数据时，须显式标注「后见信息」并请使用者确认。</t>
        </is>
      </c>
    </row>
  </sheetData>
  <mergeCells count="1">
    <mergeCell ref="B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2026-10-12T05:10:21Z</dcterms:created>
  <dcterms:modified xsi:type="dcterms:W3CDTF">2026-10-12T05:10:21Z</dcterms:modified>
</cp:coreProperties>
</file>