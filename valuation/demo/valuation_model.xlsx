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参数假设" sheetId="2" state="visible" r:id="rId2"/>
    <sheet name="DCF测算" sheetId="3" state="visible" r:id="rId3"/>
    <sheet name="相对估值" sheetId="4" state="visible" r:id="rId4"/>
    <sheet name="三法融合" sheetId="5" state="visible" r:id="rId5"/>
    <sheet name="敏感性分析" sheetId="6" state="visible" r:id="rId6"/>
    <sheet name="数据来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 * #,##0.00_ ;_ * (#,##0.00);_ * &quot;-&quot;??_ ;_ @_ "/>
    <numFmt numFmtId="165" formatCode="0.0%"/>
  </numFmts>
  <fonts count="13">
    <font>
      <name val="Calibri"/>
      <family val="2"/>
      <color theme="1"/>
      <sz val="11"/>
      <scheme val="minor"/>
    </font>
    <font>
      <name val="Times New Roman"/>
      <b val="1"/>
      <color rgb="FF0B2545"/>
      <sz val="14"/>
    </font>
    <font>
      <name val="Times New Roman"/>
      <b val="1"/>
      <sz val="10"/>
    </font>
    <font>
      <name val="Times New Roman"/>
      <color rgb="FF808080"/>
      <sz val="9"/>
    </font>
    <font>
      <name val="Times New Roman"/>
      <color rgb="FF0000FF"/>
      <sz val="10"/>
    </font>
    <font>
      <name val="Times New Roman"/>
      <b val="1"/>
      <color rgb="FF0B2545"/>
      <sz val="10"/>
    </font>
    <font>
      <name val="Times New Roman"/>
      <sz val="10"/>
    </font>
    <font>
      <name val="Times New Roman"/>
      <color rgb="FF000000"/>
      <sz val="10"/>
    </font>
    <font>
      <name val="Times New Roman"/>
      <b val="1"/>
      <color rgb="FFCC0000"/>
      <sz val="10"/>
    </font>
    <font>
      <name val="Times New Roman"/>
      <b val="1"/>
      <color rgb="FF0000FF"/>
      <sz val="10"/>
    </font>
    <font>
      <name val="Times New Roman"/>
      <i val="1"/>
      <sz val="10"/>
    </font>
    <font>
      <name val="_ * #,##0.00_ ;_ * (#,##0.00);_ * &quot;-&quot;??_ ;_ @_ "/>
    </font>
    <font>
      <name val="0.00%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E7F5EE"/>
      </patternFill>
    </fill>
    <fill>
      <patternFill patternType="solid">
        <fgColor rgb="00FFFFCC"/>
      </patternFill>
    </fill>
    <fill>
      <patternFill patternType="solid">
        <fgColor rgb="FFD9E1F2"/>
      </patternFill>
    </fill>
    <fill>
      <patternFill patternType="solid">
        <fgColor rgb="FFFDEEE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164" fontId="2" fillId="3" borderId="0" pivotButton="0" quotePrefix="0" xfId="0"/>
    <xf numFmtId="164" fontId="4" fillId="4" borderId="0" pivotButton="0" quotePrefix="0" xfId="0"/>
    <xf numFmtId="10" fontId="2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0" fontId="7" fillId="0" borderId="1" pivotButton="0" quotePrefix="0" xfId="0"/>
    <xf numFmtId="0" fontId="2" fillId="6" borderId="0" pivotButton="0" quotePrefix="0" xfId="0"/>
    <xf numFmtId="0" fontId="8" fillId="0" borderId="0" pivotButton="0" quotePrefix="0" xfId="0"/>
    <xf numFmtId="1" fontId="4" fillId="0" borderId="1" pivotButton="0" quotePrefix="0" xfId="0"/>
    <xf numFmtId="0" fontId="3" fillId="0" borderId="1" pivotButton="0" quotePrefix="0" xfId="0"/>
    <xf numFmtId="10" fontId="4" fillId="0" borderId="1" pivotButton="0" quotePrefix="0" xfId="0"/>
    <xf numFmtId="0" fontId="9" fillId="0" borderId="1" pivotButton="0" quotePrefix="0" xfId="0"/>
    <xf numFmtId="10" fontId="9" fillId="4" borderId="1" pivotButton="0" quotePrefix="0" xfId="0"/>
    <xf numFmtId="2" fontId="9" fillId="4" borderId="1" pivotButton="0" quotePrefix="0" xfId="0"/>
    <xf numFmtId="165" fontId="4" fillId="0" borderId="1" pivotButton="0" quotePrefix="0" xfId="0"/>
    <xf numFmtId="0" fontId="7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10" fillId="0" borderId="1" pivotButton="0" quotePrefix="0" xfId="0"/>
    <xf numFmtId="2" fontId="10" fillId="0" borderId="1" pivotButton="0" quotePrefix="0" xfId="0"/>
    <xf numFmtId="0" fontId="11" fillId="0" borderId="1" pivotButton="0" quotePrefix="0" xfId="0"/>
    <xf numFmtId="164" fontId="11" fillId="0" borderId="1" pivotButton="0" quotePrefix="0" xfId="0"/>
    <xf numFmtId="0" fontId="12" fillId="0" borderId="1" pivotButton="0" quotePrefix="0" xfId="0"/>
    <xf numFmtId="10" fontId="12" fillId="0" borderId="1" pivotButton="0" quotePrefix="0" xfId="0"/>
    <xf numFmtId="2" fontId="7" fillId="0" borderId="1" pivotButton="0" quotePrefix="0" xfId="0"/>
    <xf numFmtId="0" fontId="6" fillId="0" borderId="0" pivotButton="0" quotePrefix="0" xfId="0"/>
    <xf numFmtId="165" fontId="4" fillId="4" borderId="1" pivotButton="0" quotePrefix="0" xfId="0"/>
    <xf numFmtId="164" fontId="2" fillId="3" borderId="1" pivotButton="0" quotePrefix="0" xfId="0"/>
    <xf numFmtId="164" fontId="4" fillId="4" borderId="1" pivotButton="0" quotePrefix="0" xfId="0"/>
    <xf numFmtId="10" fontId="2" fillId="0" borderId="1" pivotButton="0" quotePrefix="0" xfId="0"/>
    <xf numFmtId="10" fontId="5" fillId="5" borderId="1" pivotButton="0" quotePrefix="0" xfId="0"/>
    <xf numFmtId="164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6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22" customWidth="1" min="3" max="3"/>
    <col width="18" customWidth="1" min="4" max="4"/>
    <col width="16" customWidth="1" min="5" max="5"/>
    <col width="46" customWidth="1" min="6" max="6"/>
  </cols>
  <sheetData>
    <row r="2">
      <c r="B2" s="1" t="inlineStr">
        <is>
          <t>FinScope 估值底稿</t>
        </is>
      </c>
    </row>
    <row r="3">
      <c r="B3" s="2" t="inlineStr">
        <is>
          <t>贵州茅台（600519）</t>
        </is>
      </c>
    </row>
    <row r="4">
      <c r="B4" s="3" t="inlineStr">
        <is>
          <t>估值基准期 2025-12-31 · 价格日期 2026-10-09 · 币种 CNY</t>
        </is>
      </c>
    </row>
    <row r="6">
      <c r="B6" s="4" t="inlineStr">
        <is>
          <t>一、估值结论</t>
        </is>
      </c>
    </row>
    <row r="7">
      <c r="B7" s="2" t="inlineStr">
        <is>
          <t>融合每股价值</t>
        </is>
      </c>
      <c r="C7" s="5" t="n">
        <v>1271.403906318448</v>
      </c>
    </row>
    <row r="8">
      <c r="B8" t="inlineStr">
        <is>
          <t>当前市价</t>
        </is>
      </c>
      <c r="C8" s="6" t="n">
        <v>1263</v>
      </c>
    </row>
    <row r="9">
      <c r="B9" t="inlineStr">
        <is>
          <t>估值判断</t>
        </is>
      </c>
      <c r="C9" s="2" t="inlineStr">
        <is>
          <t>大致合理</t>
        </is>
      </c>
    </row>
    <row r="10">
      <c r="B10" t="inlineStr">
        <is>
          <t>上行/下行空间</t>
        </is>
      </c>
      <c r="C10" s="7" t="n">
        <v>0.00665392424263489</v>
      </c>
    </row>
    <row r="12">
      <c r="B12" s="4" t="inlineStr">
        <is>
          <t>二、各方法结果与权重</t>
        </is>
      </c>
    </row>
    <row r="13">
      <c r="B13" s="8" t="inlineStr">
        <is>
          <t>方法</t>
        </is>
      </c>
      <c r="C13" s="8" t="inlineStr">
        <is>
          <t>每股价值</t>
        </is>
      </c>
      <c r="D13" s="8" t="inlineStr">
        <is>
          <t>权重</t>
        </is>
      </c>
      <c r="E13" s="8" t="inlineStr">
        <is>
          <t>股权价值</t>
        </is>
      </c>
      <c r="F13" s="8" t="inlineStr">
        <is>
          <t>说明</t>
        </is>
      </c>
    </row>
    <row r="14">
      <c r="B14" s="9" t="inlineStr">
        <is>
          <t>DCF（收益法）</t>
        </is>
      </c>
      <c r="C14" s="10" t="n">
        <v>2022.060615248204</v>
      </c>
      <c r="D14" s="11" t="n">
        <v>0.5</v>
      </c>
      <c r="E14" s="10" t="n">
        <v>2532166281399.9</v>
      </c>
    </row>
    <row r="15">
      <c r="B15" s="9" t="inlineStr">
        <is>
          <t>相对估值（市场法）</t>
        </is>
      </c>
      <c r="C15" s="10" t="n">
        <v>520.7471973886923</v>
      </c>
      <c r="D15" s="11" t="n">
        <v>0.5</v>
      </c>
      <c r="E15" s="10" t="n">
        <v>652116204834.585</v>
      </c>
    </row>
    <row r="16">
      <c r="B16" s="3" t="inlineStr">
        <is>
          <t>默认权重：DCF 50% / 相对估值 50%</t>
        </is>
      </c>
    </row>
    <row r="18">
      <c r="B18" s="4" t="inlineStr">
        <is>
          <t>三、三情景</t>
        </is>
      </c>
    </row>
    <row r="19">
      <c r="B19" s="8" t="inlineStr">
        <is>
          <t>情景</t>
        </is>
      </c>
      <c r="C19" s="8" t="inlineStr">
        <is>
          <t>每股价值</t>
        </is>
      </c>
      <c r="D19" s="8" t="inlineStr">
        <is>
          <t>首年增速</t>
        </is>
      </c>
      <c r="E19" s="8" t="inlineStr">
        <is>
          <t>EBIT 利润率</t>
        </is>
      </c>
      <c r="F19" s="8" t="inlineStr">
        <is>
          <t>WACC</t>
        </is>
      </c>
    </row>
    <row r="20">
      <c r="B20" s="9" t="inlineStr">
        <is>
          <t>乐观</t>
        </is>
      </c>
      <c r="C20" s="10" t="n">
        <v>3116.035453509616</v>
      </c>
      <c r="D20" s="12" t="n">
        <v>0.1496910251003316</v>
      </c>
      <c r="E20" s="12" t="n">
        <v>0.7054395163945317</v>
      </c>
      <c r="F20" s="12" t="n">
        <v>0.04876011676096274</v>
      </c>
    </row>
    <row r="21">
      <c r="B21" s="9" t="inlineStr">
        <is>
          <t>基准</t>
        </is>
      </c>
      <c r="C21" s="10" t="n">
        <v>2022.060615248204</v>
      </c>
      <c r="D21" s="12" t="n">
        <v>0.1196910251003316</v>
      </c>
      <c r="E21" s="12" t="n">
        <v>0.6854395163945317</v>
      </c>
      <c r="F21" s="12" t="n">
        <v>0.05876011676096274</v>
      </c>
    </row>
    <row r="22">
      <c r="B22" s="9" t="inlineStr">
        <is>
          <t>悲观</t>
        </is>
      </c>
      <c r="C22" s="10" t="n">
        <v>1473.707021244496</v>
      </c>
      <c r="D22" s="12" t="n">
        <v>0.08969102510033158</v>
      </c>
      <c r="E22" s="12" t="n">
        <v>0.6654395163945317</v>
      </c>
      <c r="F22" s="12" t="n">
        <v>0.06876011676096273</v>
      </c>
    </row>
    <row r="25">
      <c r="B25" s="13" t="inlineStr">
        <is>
          <t>四、模型提示（交付前请逐条复核）</t>
        </is>
      </c>
    </row>
    <row r="26" ht="28" customHeight="1">
      <c r="B26" s="14" t="inlineStr">
        <is>
          <t>⚠ 终值两种算法偏离 121%（Gordon 43,158 亿 vs 退出倍数 10,653 亿），已取中点。根因多半是 WACC − g 只有 2.88%——分母太小会把 Gordon 终值放大。建议复核折现率假设。</t>
        </is>
      </c>
    </row>
    <row r="27" ht="28" customHeight="1">
      <c r="B27" s="14" t="inlineStr">
        <is>
          <t>⚠ 算出的 WACC（5.88%）低于市场隐含折现率（8.50%）263bp。折现率偏低会让 DCF 结果系统性高于市价——通常是无风险利率处在历史低位、Beta 偏低，或 ERP 取值偏小。建议把市场隐含折现率作为交叉验证，并在交付时说明这一分歧。</t>
        </is>
      </c>
    </row>
    <row r="28" ht="28" customHeight="1">
      <c r="B28" s="14" t="inlineStr">
        <is>
          <t>⚠ 没有提供分部数据，跳过 SOTP。</t>
        </is>
      </c>
    </row>
    <row r="29" ht="28" customHeight="1">
      <c r="B29" s="14" t="inlineStr">
        <is>
          <t>⚠ DCF（每股 2,022.06）与相对估值（每股 520.75）相差 288%。两者背离到这个程度，通常说明：折现率偏低、永续增速偏高，或者可比公司选得不对。加权平均值在这种情况下参考价值有限，请先定位是哪一头出了问题。</t>
        </is>
      </c>
    </row>
    <row r="32">
      <c r="B32" s="4" t="inlineStr">
        <is>
          <t>五、口径与免责</t>
        </is>
      </c>
    </row>
    <row r="33">
      <c r="B33" s="3" t="inlineStr">
        <is>
          <t>· 金额单位为报表原始货币的「元」，请勿与「亿元」混用；百分比一律为小数格式。</t>
        </is>
      </c>
    </row>
    <row r="34">
      <c r="B34" s="3" t="inlineStr">
        <is>
          <t>· 蓝字为手输或假设，蓝字黄底为关键驱动；黑字为公式链接，改动上游会自动联动。</t>
        </is>
      </c>
    </row>
    <row r="35">
      <c r="B35" s="3" t="inlineStr">
        <is>
          <t>· 本底稿由模型按既定假设计算，仅供研究与教学用途，不构成投资建议。</t>
        </is>
      </c>
    </row>
    <row r="36">
      <c r="B36" s="3" t="inlineStr">
        <is>
          <t>本结果由模型按既定假设计算，仅供研究与教学用途，不构成投资建议。</t>
        </is>
      </c>
    </row>
  </sheetData>
  <mergeCells count="4">
    <mergeCell ref="B26:F26"/>
    <mergeCell ref="B27:F27"/>
    <mergeCell ref="B29:F29"/>
    <mergeCell ref="B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6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8" customWidth="1" min="3" max="3"/>
    <col width="44" customWidth="1" min="4" max="4"/>
  </cols>
  <sheetData>
    <row r="2">
      <c r="B2" s="1" t="inlineStr">
        <is>
          <t>参数假设</t>
        </is>
      </c>
    </row>
    <row r="3">
      <c r="B3" s="3" t="inlineStr">
        <is>
          <t>蓝字为手输假设，蓝字黄底为关键驱动。</t>
        </is>
      </c>
    </row>
    <row r="5">
      <c r="B5" s="8" t="inlineStr">
        <is>
          <t>参数</t>
        </is>
      </c>
      <c r="C5" s="8" t="inlineStr">
        <is>
          <t>取值</t>
        </is>
      </c>
      <c r="D5" s="8" t="inlineStr">
        <is>
          <t>来源 / 口径</t>
        </is>
      </c>
    </row>
    <row r="6">
      <c r="B6" s="9" t="inlineStr">
        <is>
          <t>预测期年数</t>
        </is>
      </c>
      <c r="C6" s="15" t="n">
        <v>5</v>
      </c>
      <c r="D6" s="16" t="inlineStr">
        <is>
          <t>模型设定，允许 3–10 年</t>
        </is>
      </c>
    </row>
    <row r="7">
      <c r="B7" s="9" t="inlineStr">
        <is>
          <t>首年收入增速</t>
        </is>
      </c>
      <c r="C7" s="17" t="n">
        <v>0.1196910251003316</v>
      </c>
      <c r="D7" s="16" t="inlineStr">
        <is>
          <t>历史 CAGR</t>
        </is>
      </c>
    </row>
    <row r="8">
      <c r="B8" s="18" t="inlineStr">
        <is>
          <t>永续增长率 g</t>
        </is>
      </c>
      <c r="C8" s="19" t="n">
        <v>0.03</v>
      </c>
      <c r="D8" s="16" t="inlineStr">
        <is>
          <t>上限 4.0%（按市场长期名义 GDP 推得）</t>
        </is>
      </c>
    </row>
    <row r="9">
      <c r="B9" s="18" t="inlineStr">
        <is>
          <t>EBIT 利润率</t>
        </is>
      </c>
      <c r="C9" s="19" t="n">
        <v>0.6854395163945317</v>
      </c>
      <c r="D9" s="16" t="inlineStr">
        <is>
          <t>近三年中位数</t>
        </is>
      </c>
    </row>
    <row r="10">
      <c r="B10" s="9" t="inlineStr">
        <is>
          <t>折旧摊销 / 收入</t>
        </is>
      </c>
      <c r="C10" s="17" t="n">
        <v>0.01220545818168475</v>
      </c>
      <c r="D10" s="16" t="inlineStr">
        <is>
          <t>近三年中位数</t>
        </is>
      </c>
    </row>
    <row r="11">
      <c r="B11" s="9" t="inlineStr">
        <is>
          <t>资本开支 / 收入</t>
        </is>
      </c>
      <c r="C11" s="17" t="n">
        <v>0.01817796616975611</v>
      </c>
      <c r="D11" s="16" t="inlineStr">
        <is>
          <t>近三年中位数</t>
        </is>
      </c>
    </row>
    <row r="12">
      <c r="B12" s="9" t="inlineStr">
        <is>
          <t>营运资本变动 / 收入</t>
        </is>
      </c>
      <c r="C12" s="17" t="n">
        <v>0.01722711546091428</v>
      </c>
      <c r="D12" s="16" t="inlineStr">
        <is>
          <t>近三年中位数</t>
        </is>
      </c>
    </row>
    <row r="14">
      <c r="B14" s="9" t="inlineStr">
        <is>
          <t>无风险利率 rf</t>
        </is>
      </c>
      <c r="C14" s="17" t="n">
        <v>0.016864</v>
      </c>
      <c r="D14" s="16" t="inlineStr">
        <is>
          <t>基准日 10 年期国债收益率</t>
        </is>
      </c>
    </row>
    <row r="15">
      <c r="B15" s="9" t="inlineStr">
        <is>
          <t>股权风险溢价 ERP</t>
        </is>
      </c>
      <c r="C15" s="17" t="n">
        <v>0.0514</v>
      </c>
      <c r="D15" s="16" t="inlineStr">
        <is>
          <t>Damodaran 国家风险溢价</t>
        </is>
      </c>
    </row>
    <row r="16">
      <c r="B16" s="18" t="inlineStr">
        <is>
          <t>Beta</t>
        </is>
      </c>
      <c r="C16" s="20" t="n">
        <v>0.8153</v>
      </c>
      <c r="D16" s="16" t="inlineStr">
        <is>
          <t>数据源 Beta</t>
        </is>
      </c>
    </row>
    <row r="17">
      <c r="B17" s="9" t="inlineStr">
        <is>
          <t>规模溢价</t>
        </is>
      </c>
      <c r="C17" s="17" t="n">
        <v>0</v>
      </c>
      <c r="D17" s="16" t="inlineStr">
        <is>
          <t>小市值补充回报</t>
        </is>
      </c>
    </row>
    <row r="18">
      <c r="B18" s="9" t="inlineStr">
        <is>
          <t>股权成本 Ke</t>
        </is>
      </c>
      <c r="C18" s="17" t="n">
        <v>0.05877042</v>
      </c>
      <c r="D18" s="16">
        <f> rf + β×ERP + 规模溢价</f>
        <v/>
      </c>
    </row>
    <row r="19">
      <c r="B19" s="9" t="inlineStr">
        <is>
          <t>税前债务成本 Kd</t>
        </is>
      </c>
      <c r="C19" s="17" t="n">
        <v>0.035</v>
      </c>
      <c r="D19" s="16" t="inlineStr">
        <is>
          <t>A 市场默认值</t>
        </is>
      </c>
    </row>
    <row r="20">
      <c r="B20" s="9" t="inlineStr">
        <is>
          <t>所得税率</t>
        </is>
      </c>
      <c r="C20" s="17" t="n">
        <v>0.2523270020463321</v>
      </c>
      <c r="D20" s="16" t="inlineStr">
        <is>
          <t>近三年有效税率中位数（夹在 15%–30%）</t>
        </is>
      </c>
    </row>
    <row r="21">
      <c r="B21" s="9" t="inlineStr">
        <is>
          <t>股权占比 E/V</t>
        </is>
      </c>
      <c r="C21" s="21" t="n">
        <v>0.9996839678032338</v>
      </c>
      <c r="D21" s="16" t="inlineStr">
        <is>
          <t>当前市值口径（E=市值，D=报表有息负债）</t>
        </is>
      </c>
    </row>
    <row r="22">
      <c r="B22" s="9" t="inlineStr">
        <is>
          <t>债务占比 D/V</t>
        </is>
      </c>
      <c r="C22" s="21" t="n">
        <v>0.0003160321967662361</v>
      </c>
      <c r="D22" s="16" t="inlineStr"/>
    </row>
    <row r="23">
      <c r="B23" s="18" t="inlineStr">
        <is>
          <t>WACC</t>
        </is>
      </c>
      <c r="C23" s="19" t="n">
        <v>0.05876011676096274</v>
      </c>
      <c r="D23" s="16">
        <f> E/V×Ke + D/V×Kd×(1−税率)</f>
        <v/>
      </c>
    </row>
    <row r="25">
      <c r="B25" s="4" t="inlineStr">
        <is>
          <t>隐含资本成本反查</t>
        </is>
      </c>
    </row>
    <row r="26" ht="40" customHeight="1">
      <c r="B26" s="3" t="inlineStr">
        <is>
          <t>由当前 PE（18.5 倍）反推：盈利收益率 5.39% + 永续增速 3.00% = 隐含资本成本 8.39%；与算出的 WACC（5.88%）相差 252bp，在可接受范围内。</t>
        </is>
      </c>
    </row>
  </sheetData>
  <mergeCells count="1">
    <mergeCell ref="B26:D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2">
      <c r="B2" s="1" t="inlineStr">
        <is>
          <t>DCF 测算（FCFF 口径）</t>
        </is>
      </c>
    </row>
    <row r="3">
      <c r="B3" s="3" t="inlineStr">
        <is>
          <t>折现率取「参数假设」页的 WACC；终值取 Gordon 与退出倍数法的中点。</t>
        </is>
      </c>
    </row>
    <row r="5">
      <c r="B5" s="8" t="inlineStr">
        <is>
          <t>项目</t>
        </is>
      </c>
      <c r="C5" s="8" t="inlineStr">
        <is>
          <t>第 1 年</t>
        </is>
      </c>
      <c r="D5" s="8" t="inlineStr">
        <is>
          <t>第 2 年</t>
        </is>
      </c>
      <c r="E5" s="8" t="inlineStr">
        <is>
          <t>第 3 年</t>
        </is>
      </c>
      <c r="F5" s="8" t="inlineStr">
        <is>
          <t>第 4 年</t>
        </is>
      </c>
      <c r="G5" s="8" t="inlineStr">
        <is>
          <t>第 5 年</t>
        </is>
      </c>
    </row>
    <row r="6">
      <c r="B6" s="22" t="inlineStr">
        <is>
          <t>收入增速</t>
        </is>
      </c>
      <c r="D6" s="12" t="n">
        <v>0.1196910251003316</v>
      </c>
      <c r="E6" s="12" t="n">
        <v>0.09726826882524869</v>
      </c>
      <c r="F6" s="12" t="n">
        <v>0.07484551255016579</v>
      </c>
      <c r="G6" s="12" t="n">
        <v>0.05242275627508289</v>
      </c>
      <c r="H6" s="12" t="n">
        <v>0.03</v>
      </c>
    </row>
    <row r="7">
      <c r="B7" s="22" t="inlineStr">
        <is>
          <t>营业收入</t>
        </is>
      </c>
      <c r="D7" s="10" t="n">
        <v>192647512097.4225</v>
      </c>
      <c r="E7" s="10" t="n">
        <v>211386002092.6299</v>
      </c>
      <c r="F7" s="10" t="n">
        <v>227207295765.1832</v>
      </c>
      <c r="G7" s="10" t="n">
        <v>239118128455.002</v>
      </c>
      <c r="H7" s="10" t="n">
        <v>246291672308.6521</v>
      </c>
    </row>
    <row r="8">
      <c r="B8" s="22" t="inlineStr">
        <is>
          <t>EBIT</t>
        </is>
      </c>
      <c r="D8" s="10" t="n">
        <v>132048217526.6669</v>
      </c>
      <c r="E8" s="10" t="n">
        <v>144892319046.9457</v>
      </c>
      <c r="F8" s="10" t="n">
        <v>155736858930.5965</v>
      </c>
      <c r="G8" s="10" t="n">
        <v>163901014329.3621</v>
      </c>
      <c r="H8" s="10" t="n">
        <v>168818044759.243</v>
      </c>
    </row>
    <row r="9">
      <c r="B9" s="22" t="inlineStr">
        <is>
          <t>减：现金所得税</t>
        </is>
      </c>
      <c r="D9" s="10" t="n">
        <v>33319330854.06579</v>
      </c>
      <c r="E9" s="10" t="n">
        <v>36560244484.65647</v>
      </c>
      <c r="F9" s="10" t="n">
        <v>39296614722.06995</v>
      </c>
      <c r="G9" s="10" t="n">
        <v>41356651578.08086</v>
      </c>
      <c r="H9" s="10" t="n">
        <v>42597351125.42329</v>
      </c>
    </row>
    <row r="10">
      <c r="B10" s="23" t="inlineStr">
        <is>
          <t>NOPAT</t>
        </is>
      </c>
      <c r="D10" s="24" t="n">
        <v>98728886672.60115</v>
      </c>
      <c r="E10" s="24" t="n">
        <v>108332074562.2892</v>
      </c>
      <c r="F10" s="24" t="n">
        <v>116440244208.5266</v>
      </c>
      <c r="G10" s="24" t="n">
        <v>122544362751.2813</v>
      </c>
      <c r="H10" s="24" t="n">
        <v>126220693633.8197</v>
      </c>
    </row>
    <row r="11">
      <c r="B11" s="22" t="inlineStr">
        <is>
          <t>加：折旧摊销</t>
        </is>
      </c>
      <c r="D11" s="10" t="n">
        <v>2351351152.710696</v>
      </c>
      <c r="E11" s="10" t="n">
        <v>2580063008.735118</v>
      </c>
      <c r="F11" s="10" t="n">
        <v>2773169147.035621</v>
      </c>
      <c r="G11" s="10" t="n">
        <v>2918546317.340249</v>
      </c>
      <c r="H11" s="10" t="n">
        <v>3006102706.860456</v>
      </c>
    </row>
    <row r="12">
      <c r="B12" s="22" t="inlineStr">
        <is>
          <t>减：资本开支</t>
        </is>
      </c>
      <c r="D12" s="10" t="n">
        <v>3501939957.594625</v>
      </c>
      <c r="E12" s="10" t="n">
        <v>3842567594.799819</v>
      </c>
      <c r="F12" s="10" t="n">
        <v>4130166535.941269</v>
      </c>
      <c r="G12" s="10" t="n">
        <v>4346681249.630422</v>
      </c>
      <c r="H12" s="10" t="n">
        <v>4477081687.119334</v>
      </c>
    </row>
    <row r="13">
      <c r="B13" s="22" t="inlineStr">
        <is>
          <t>减：营运资本增加</t>
        </is>
      </c>
      <c r="D13" s="10" t="n">
        <v>3318760934.160177</v>
      </c>
      <c r="E13" s="10" t="n">
        <v>3641571064.870802</v>
      </c>
      <c r="F13" s="10" t="n">
        <v>3914126317.70891</v>
      </c>
      <c r="G13" s="10" t="n">
        <v>4119315607.692052</v>
      </c>
      <c r="H13" s="10" t="n">
        <v>4242895075.922814</v>
      </c>
    </row>
    <row r="14">
      <c r="B14" s="22" t="inlineStr">
        <is>
          <t>减：股份支付（如计入现金）</t>
        </is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</row>
    <row r="15">
      <c r="B15" s="23" t="inlineStr">
        <is>
          <t>自由现金流 FCFF</t>
        </is>
      </c>
      <c r="D15" s="24" t="n">
        <v>94259536933.55705</v>
      </c>
      <c r="E15" s="24" t="n">
        <v>103427998911.3537</v>
      </c>
      <c r="F15" s="24" t="n">
        <v>111169120501.912</v>
      </c>
      <c r="G15" s="24" t="n">
        <v>116996912211.2991</v>
      </c>
      <c r="H15" s="24" t="n">
        <v>120506819577.638</v>
      </c>
    </row>
    <row r="16">
      <c r="B16" s="25" t="inlineStr">
        <is>
          <t>折现系数</t>
        </is>
      </c>
      <c r="D16" s="26" t="n">
        <v>0.9445010103509319</v>
      </c>
      <c r="E16" s="26" t="n">
        <v>0.8920821585539311</v>
      </c>
      <c r="F16" s="26" t="n">
        <v>0.8425725000702282</v>
      </c>
      <c r="G16" s="26" t="n">
        <v>0.7958105776102411</v>
      </c>
      <c r="H16" s="26" t="n">
        <v>0.7516438946008315</v>
      </c>
    </row>
    <row r="17">
      <c r="B17" s="22" t="inlineStr">
        <is>
          <t>现金流现值</t>
        </is>
      </c>
      <c r="D17" s="10" t="n">
        <v>89028227868.95561</v>
      </c>
      <c r="E17" s="10" t="n">
        <v>92266272523.75409</v>
      </c>
      <c r="F17" s="10" t="n">
        <v>93668043791.90445</v>
      </c>
      <c r="G17" s="10" t="n">
        <v>93107380285.48857</v>
      </c>
      <c r="H17" s="10" t="n">
        <v>90578215193.29555</v>
      </c>
    </row>
    <row r="19">
      <c r="B19" s="27" t="inlineStr">
        <is>
          <t>详细预测期现值合计</t>
        </is>
      </c>
      <c r="C19" s="28" t="n">
        <v>458648139663.3983</v>
      </c>
    </row>
    <row r="20">
      <c r="B20" s="27" t="inlineStr">
        <is>
          <t>终值 · Gordon 永续法</t>
        </is>
      </c>
      <c r="C20" s="28" t="n">
        <v>4315769132531.581</v>
      </c>
    </row>
    <row r="21">
      <c r="B21" s="27" t="inlineStr">
        <is>
          <t>终值 · 退出倍数法</t>
        </is>
      </c>
      <c r="C21" s="28" t="n">
        <v>1065309714289.841</v>
      </c>
      <c r="E21" s="3" t="inlineStr">
        <is>
          <t>退出倍数取值 6.20x（同业中位 EV/EBITDA）</t>
        </is>
      </c>
    </row>
    <row r="22">
      <c r="B22" s="23" t="inlineStr">
        <is>
          <t>终值取中点</t>
        </is>
      </c>
      <c r="C22" s="24" t="n">
        <v>2690539423410.711</v>
      </c>
    </row>
    <row r="23">
      <c r="B23" s="27" t="inlineStr">
        <is>
          <t>终值现值</t>
        </is>
      </c>
      <c r="C23" s="28" t="n">
        <v>2022327530789.502</v>
      </c>
    </row>
    <row r="24">
      <c r="B24" s="23" t="inlineStr">
        <is>
          <t>企业价值 EV</t>
        </is>
      </c>
      <c r="C24" s="24" t="n">
        <v>2480975670452.9</v>
      </c>
    </row>
    <row r="25">
      <c r="B25" s="27" t="inlineStr">
        <is>
          <t>加：货币资金</t>
        </is>
      </c>
      <c r="C25" s="28" t="n">
        <v>51690610947</v>
      </c>
    </row>
    <row r="26">
      <c r="B26" s="27" t="inlineStr">
        <is>
          <t>减：有息负债</t>
        </is>
      </c>
      <c r="C26" s="28" t="n">
        <v>500000000</v>
      </c>
    </row>
    <row r="27">
      <c r="B27" s="27" t="inlineStr">
        <is>
          <t>减：少数股东权益</t>
        </is>
      </c>
      <c r="C27" s="28" t="n">
        <v>0</v>
      </c>
    </row>
    <row r="28">
      <c r="B28" s="27" t="inlineStr">
        <is>
          <t>减：优先股</t>
        </is>
      </c>
      <c r="C28" s="28" t="n">
        <v>0</v>
      </c>
    </row>
    <row r="29">
      <c r="B29" s="23" t="inlineStr">
        <is>
          <t>股权价值</t>
        </is>
      </c>
      <c r="C29" s="24" t="n">
        <v>2532166281399.9</v>
      </c>
    </row>
    <row r="30">
      <c r="B30" s="23" t="inlineStr">
        <is>
          <t>每股价值</t>
        </is>
      </c>
      <c r="C30" s="24" t="n">
        <v>2022.060615248204</v>
      </c>
    </row>
    <row r="31">
      <c r="B31" s="29" t="inlineStr">
        <is>
          <t>终值占企业价值比例</t>
        </is>
      </c>
      <c r="C31" s="30" t="n">
        <v>0.8151339631719676</v>
      </c>
    </row>
    <row r="32">
      <c r="B32" s="29" t="inlineStr">
        <is>
          <t>终值两法偏离度</t>
        </is>
      </c>
      <c r="C32" s="30" t="n">
        <v>1.208106965450533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9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2">
      <c r="B2" s="1" t="inlineStr">
        <is>
          <t>相对估值（可比公司法）</t>
        </is>
      </c>
    </row>
    <row r="3">
      <c r="B3" s="3" t="inlineStr">
        <is>
          <t>每个选用倍数取同业中位数，再按目标与同业的差异做调整。</t>
        </is>
      </c>
    </row>
    <row r="5">
      <c r="B5" s="8" t="inlineStr">
        <is>
          <t>选用倍数</t>
        </is>
      </c>
      <c r="C5" s="8" t="inlineStr">
        <is>
          <t>同业中位数</t>
        </is>
      </c>
      <c r="D5" s="8" t="inlineStr">
        <is>
          <t>调整幅度</t>
        </is>
      </c>
      <c r="E5" s="8" t="inlineStr">
        <is>
          <t>采用倍数</t>
        </is>
      </c>
      <c r="F5" s="8" t="inlineStr">
        <is>
          <t>对应指标</t>
        </is>
      </c>
      <c r="G5" s="8" t="inlineStr">
        <is>
          <t>指标值</t>
        </is>
      </c>
      <c r="H5" s="8" t="inlineStr">
        <is>
          <t>隐含股权价值</t>
        </is>
      </c>
    </row>
    <row r="6">
      <c r="B6" s="9" t="inlineStr">
        <is>
          <t>市盈率 PE</t>
        </is>
      </c>
      <c r="C6" s="31" t="n">
        <v>9.69</v>
      </c>
      <c r="D6" s="21" t="n">
        <v>0</v>
      </c>
      <c r="E6" s="31" t="n">
        <v>9.69</v>
      </c>
      <c r="F6" s="9" t="inlineStr">
        <is>
          <t>净利润</t>
        </is>
      </c>
      <c r="G6" s="10" t="n">
        <v>85310324834</v>
      </c>
    </row>
    <row r="7">
      <c r="B7" s="9" t="inlineStr">
        <is>
          <t>市销率 PS</t>
        </is>
      </c>
      <c r="C7" s="31" t="n">
        <v>3.07</v>
      </c>
      <c r="D7" s="21" t="n">
        <v>0</v>
      </c>
      <c r="E7" s="31" t="n">
        <v>3.07</v>
      </c>
      <c r="F7" s="9" t="inlineStr">
        <is>
          <t>营业收入</t>
        </is>
      </c>
      <c r="G7" s="10" t="n">
        <v>172054171891</v>
      </c>
    </row>
    <row r="8">
      <c r="B8" s="9" t="inlineStr">
        <is>
          <t>市净率 PB</t>
        </is>
      </c>
      <c r="C8" s="31" t="n">
        <v>2.01</v>
      </c>
      <c r="D8" s="21" t="n">
        <v>0</v>
      </c>
      <c r="E8" s="31" t="n">
        <v>2.01</v>
      </c>
      <c r="F8" s="9" t="inlineStr">
        <is>
          <t>净资产</t>
        </is>
      </c>
      <c r="G8" s="10" t="n">
        <v>253959253909</v>
      </c>
    </row>
    <row r="9">
      <c r="B9" s="9" t="inlineStr">
        <is>
          <t>EV/EBITDA</t>
        </is>
      </c>
      <c r="C9" s="31" t="n">
        <v>6.2</v>
      </c>
      <c r="D9" s="21" t="n">
        <v>0</v>
      </c>
      <c r="E9" s="31" t="n">
        <v>6.2</v>
      </c>
      <c r="F9" s="9" t="inlineStr">
        <is>
          <t>EBITDA</t>
        </is>
      </c>
      <c r="G9" s="10" t="n">
        <v>116908950164</v>
      </c>
    </row>
    <row r="10">
      <c r="B10" s="2" t="inlineStr">
        <is>
          <t>各倍数隐含股权价值（中位）</t>
        </is>
      </c>
      <c r="C10" s="24" t="n">
        <v>652116204834.585</v>
      </c>
    </row>
    <row r="11">
      <c r="B11" s="2" t="inlineStr">
        <is>
          <t>隐含每股价值</t>
        </is>
      </c>
      <c r="C11" s="24" t="n">
        <v>520.7471973886923</v>
      </c>
    </row>
    <row r="12">
      <c r="B12" s="32" t="inlineStr">
        <is>
          <t>隐含股权价值区间</t>
        </is>
      </c>
      <c r="C12" s="10" t="n">
        <v>510458100357.09</v>
      </c>
      <c r="D12" s="10" t="n">
        <v>826657047641.46</v>
      </c>
    </row>
    <row r="14">
      <c r="B14" s="4" t="inlineStr">
        <is>
          <t>可比公司数据</t>
        </is>
      </c>
    </row>
    <row r="16">
      <c r="B16" s="2" t="inlineStr">
        <is>
          <t>口径说明</t>
        </is>
      </c>
    </row>
    <row r="17">
      <c r="B17" s="3" t="inlineStr">
        <is>
          <t>· 同业中位数而非均值：中位数对极端值更稳健。</t>
        </is>
      </c>
    </row>
    <row r="18">
      <c r="B18" s="3" t="inlineStr">
        <is>
          <t>· 调整幅度体现目标与同业在增速、利润率、杠杆上的差异，须在交付时说明理由。</t>
        </is>
      </c>
    </row>
    <row r="19">
      <c r="B19" s="3" t="inlineStr">
        <is>
          <t>· EV 类倍数算出企业价值后需扣减净负债，才是股权价值。</t>
        </is>
      </c>
    </row>
  </sheetData>
  <mergeCells count="3">
    <mergeCell ref="B18:G18"/>
    <mergeCell ref="B19:G19"/>
    <mergeCell ref="B17:G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18" customWidth="1" min="5" max="5"/>
  </cols>
  <sheetData>
    <row r="2">
      <c r="B2" s="1" t="inlineStr">
        <is>
          <t>三法融合</t>
        </is>
      </c>
    </row>
    <row r="3">
      <c r="B3" s="3" t="inlineStr">
        <is>
          <t>默认权重：DCF 50% / 相对估值 50%</t>
        </is>
      </c>
    </row>
    <row r="5">
      <c r="B5" s="8" t="inlineStr">
        <is>
          <t>方法</t>
        </is>
      </c>
      <c r="C5" s="8" t="inlineStr">
        <is>
          <t>每股价值</t>
        </is>
      </c>
      <c r="D5" s="8" t="inlineStr">
        <is>
          <t>权重</t>
        </is>
      </c>
      <c r="E5" s="8" t="inlineStr">
        <is>
          <t>股权价值</t>
        </is>
      </c>
    </row>
    <row r="6">
      <c r="B6" s="9" t="inlineStr">
        <is>
          <t>DCF（收益法）</t>
        </is>
      </c>
      <c r="C6" s="10" t="n">
        <v>2022.060615248204</v>
      </c>
      <c r="D6" s="33" t="n">
        <v>0.5</v>
      </c>
      <c r="E6" s="10" t="n">
        <v>2532166281399.9</v>
      </c>
    </row>
    <row r="7">
      <c r="B7" s="9" t="inlineStr">
        <is>
          <t>相对估值（市场法）</t>
        </is>
      </c>
      <c r="C7" s="10" t="n">
        <v>520.7471973886923</v>
      </c>
      <c r="D7" s="33" t="n">
        <v>0.5</v>
      </c>
      <c r="E7" s="10" t="n">
        <v>652116204834.585</v>
      </c>
    </row>
    <row r="9">
      <c r="B9" s="2" t="inlineStr">
        <is>
          <t>融合每股价值</t>
        </is>
      </c>
      <c r="C9" s="34" t="n">
        <v>1271.403906318448</v>
      </c>
    </row>
    <row r="10">
      <c r="B10" s="32" t="inlineStr">
        <is>
          <t>当前市价</t>
        </is>
      </c>
      <c r="C10" s="35" t="n">
        <v>1263</v>
      </c>
    </row>
    <row r="11">
      <c r="B11" s="2" t="inlineStr">
        <is>
          <t>判断</t>
        </is>
      </c>
      <c r="C11" s="23" t="inlineStr">
        <is>
          <t>大致合理</t>
        </is>
      </c>
    </row>
    <row r="12">
      <c r="B12" s="2" t="inlineStr">
        <is>
          <t>上行空间</t>
        </is>
      </c>
      <c r="C12" s="36" t="n">
        <v>0.00665392424263489</v>
      </c>
    </row>
    <row r="14">
      <c r="B14" s="3" t="inlineStr">
        <is>
          <t>各方法相对位置</t>
        </is>
      </c>
    </row>
    <row r="15">
      <c r="B15" s="3" t="inlineStr">
        <is>
          <t>最乐观：DCF（收益法）</t>
        </is>
      </c>
    </row>
    <row r="16">
      <c r="B16" s="3" t="inlineStr">
        <is>
          <t>最保守：相对估值（市场法）</t>
        </is>
      </c>
    </row>
    <row r="18">
      <c r="B18" s="4" t="inlineStr">
        <is>
          <t>三情景对照</t>
        </is>
      </c>
    </row>
    <row r="19">
      <c r="B19" s="8" t="inlineStr">
        <is>
          <t>情景</t>
        </is>
      </c>
      <c r="C19" s="8" t="inlineStr">
        <is>
          <t>每股价值</t>
        </is>
      </c>
      <c r="D19" s="8" t="inlineStr">
        <is>
          <t>首年增速</t>
        </is>
      </c>
      <c r="E19" s="8" t="inlineStr">
        <is>
          <t>EBIT 利润率</t>
        </is>
      </c>
    </row>
    <row r="20">
      <c r="B20" s="9" t="inlineStr">
        <is>
          <t>乐观</t>
        </is>
      </c>
      <c r="C20" s="10" t="n">
        <v>3116.035453509616</v>
      </c>
      <c r="D20" s="12" t="n">
        <v>0.1496910251003316</v>
      </c>
      <c r="E20" s="12" t="n">
        <v>0.7054395163945317</v>
      </c>
    </row>
    <row r="21">
      <c r="B21" s="9" t="inlineStr">
        <is>
          <t>基准</t>
        </is>
      </c>
      <c r="C21" s="10" t="n">
        <v>2022.060615248204</v>
      </c>
      <c r="D21" s="12" t="n">
        <v>0.1196910251003316</v>
      </c>
      <c r="E21" s="12" t="n">
        <v>0.6854395163945317</v>
      </c>
    </row>
    <row r="22">
      <c r="B22" s="9" t="inlineStr">
        <is>
          <t>悲观</t>
        </is>
      </c>
      <c r="C22" s="10" t="n">
        <v>1473.707021244496</v>
      </c>
      <c r="D22" s="12" t="n">
        <v>0.08969102510033158</v>
      </c>
      <c r="E22" s="12" t="n">
        <v>0.6654395163945317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12"/>
  <sheetViews>
    <sheetView showGridLines="0"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2">
      <c r="B2" s="1" t="inlineStr">
        <is>
          <t>敏感性分析：每股价值 = f(WACC, 永续增长率)</t>
        </is>
      </c>
    </row>
    <row r="3">
      <c r="B3" s="3" t="inlineStr">
        <is>
          <t>行 = WACC，列 = 永续增长率。默认 ±1.0% / ±0.5%</t>
        </is>
      </c>
    </row>
    <row r="5">
      <c r="B5" s="8" t="inlineStr">
        <is>
          <t>WACC \ g</t>
        </is>
      </c>
      <c r="C5" s="8" t="inlineStr">
        <is>
          <t>2.00%</t>
        </is>
      </c>
      <c r="D5" s="8" t="inlineStr">
        <is>
          <t>2.50%</t>
        </is>
      </c>
      <c r="E5" s="8" t="inlineStr">
        <is>
          <t>3.00%</t>
        </is>
      </c>
      <c r="F5" s="8" t="inlineStr">
        <is>
          <t>3.50%</t>
        </is>
      </c>
      <c r="G5" s="8" t="inlineStr">
        <is>
          <t>4.00%</t>
        </is>
      </c>
    </row>
    <row r="6">
      <c r="B6" s="37" t="n">
        <v>0.04876011676096274</v>
      </c>
      <c r="D6" s="10" t="n">
        <v>2054.816194796453</v>
      </c>
      <c r="E6" s="10" t="n">
        <v>2363.883602273832</v>
      </c>
      <c r="F6" s="10" t="n">
        <v>2835.135090489677</v>
      </c>
      <c r="G6" s="10" t="n">
        <v>3645.327555100107</v>
      </c>
      <c r="H6" s="10" t="n">
        <v>5374.766644680286</v>
      </c>
    </row>
    <row r="7">
      <c r="B7" s="37" t="n">
        <v>0.05376011676096274</v>
      </c>
      <c r="D7" s="10" t="n">
        <v>1821.023766914728</v>
      </c>
      <c r="E7" s="10" t="n">
        <v>2038.315668681127</v>
      </c>
      <c r="F7" s="10" t="n">
        <v>2345.090086724468</v>
      </c>
      <c r="G7" s="10" t="n">
        <v>2812.865026992069</v>
      </c>
      <c r="H7" s="10" t="n">
        <v>3617.107939624032</v>
      </c>
    </row>
    <row r="8">
      <c r="B8" s="37" t="n">
        <v>0.05876011676096274</v>
      </c>
      <c r="D8" s="38" t="n">
        <v>1645.169740286116</v>
      </c>
      <c r="E8" s="38" t="n">
        <v>1806.380534467737</v>
      </c>
      <c r="F8" s="38" t="n">
        <v>2022.060615248204</v>
      </c>
      <c r="G8" s="38" t="n">
        <v>2326.574349659721</v>
      </c>
      <c r="H8" s="38" t="n">
        <v>2790.921473609964</v>
      </c>
    </row>
    <row r="9">
      <c r="B9" s="37" t="n">
        <v>0.06376011676096274</v>
      </c>
      <c r="D9" s="10" t="n">
        <v>1507.479082885492</v>
      </c>
      <c r="E9" s="10" t="n">
        <v>1631.940850583831</v>
      </c>
      <c r="F9" s="10" t="n">
        <v>1791.955056737847</v>
      </c>
      <c r="G9" s="10" t="n">
        <v>2006.046032629328</v>
      </c>
      <c r="H9" s="10" t="n">
        <v>2308.330758793732</v>
      </c>
    </row>
    <row r="10">
      <c r="B10" s="37" t="n">
        <v>0.06876011676096273</v>
      </c>
      <c r="D10" s="10" t="n">
        <v>1396.284682427931</v>
      </c>
      <c r="E10" s="10" t="n">
        <v>1495.371702297915</v>
      </c>
      <c r="F10" s="10" t="n">
        <v>1618.908405512237</v>
      </c>
      <c r="G10" s="10" t="n">
        <v>1777.742903254144</v>
      </c>
      <c r="H10" s="10" t="n">
        <v>1990.267046829431</v>
      </c>
    </row>
    <row r="12">
      <c r="B12" s="3" t="inlineStr">
        <is>
          <t>每格都是独立重算的结果，不是 Excel 模拟运算表。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selection activeCell="A1" sqref="A1"/>
    </sheetView>
  </sheetViews>
  <sheetFormatPr baseColWidth="8" defaultRowHeight="15"/>
  <cols>
    <col width="40" customWidth="1" min="2" max="2"/>
    <col width="14" customWidth="1" min="3" max="3"/>
    <col width="14" customWidth="1" min="4" max="4"/>
    <col width="20" customWidth="1" min="5" max="5"/>
  </cols>
  <sheetData>
    <row r="2">
      <c r="B2" s="1" t="inlineStr">
        <is>
          <t>数据来源与口径</t>
        </is>
      </c>
    </row>
    <row r="4">
      <c r="B4" s="8" t="inlineStr">
        <is>
          <t>来源</t>
        </is>
      </c>
      <c r="C4" s="8" t="inlineStr">
        <is>
          <t>用途</t>
        </is>
      </c>
      <c r="D4" s="8" t="inlineStr">
        <is>
          <t>取数日</t>
        </is>
      </c>
      <c r="E4" s="8" t="inlineStr">
        <is>
          <t>性质</t>
        </is>
      </c>
    </row>
    <row r="5">
      <c r="B5" s="9" t="inlineStr">
        <is>
          <t>新浪财经·财务报表</t>
        </is>
      </c>
      <c r="C5" s="9" t="inlineStr">
        <is>
          <t>财务/市场数据</t>
        </is>
      </c>
      <c r="D5" s="9" t="inlineStr">
        <is>
          <t>2026-10-10</t>
        </is>
      </c>
      <c r="E5" s="9" t="inlineStr">
        <is>
          <t>非官方源</t>
        </is>
      </c>
    </row>
    <row r="6">
      <c r="B6" s="9" t="inlineStr">
        <is>
          <t>中国债券信息网·10年期国债</t>
        </is>
      </c>
      <c r="C6" s="9" t="inlineStr">
        <is>
          <t>财务/市场数据</t>
        </is>
      </c>
      <c r="D6" s="9" t="inlineStr">
        <is>
          <t>2026-10-09</t>
        </is>
      </c>
      <c r="E6" s="9" t="inlineStr">
        <is>
          <t>官方源</t>
        </is>
      </c>
    </row>
    <row r="9" ht="32" customHeight="1">
      <c r="B9" s="3" t="inlineStr">
        <is>
          <t>as-of 规则：所有市场数据原则上取基准日或之前可获得的数据；确需使用基准日之后发布的数据时，须显式标注「后见信息」并请使用者确认。</t>
        </is>
      </c>
    </row>
  </sheetData>
  <mergeCells count="1">
    <mergeCell ref="B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2026-10-11T07:23:23Z</dcterms:created>
  <dcterms:modified xsi:type="dcterms:W3CDTF">2026-10-11T07:23:23Z</dcterms:modified>
</cp:coreProperties>
</file>